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SC\elec\SYTaDC\"/>
    </mc:Choice>
  </mc:AlternateContent>
  <xr:revisionPtr revIDLastSave="0" documentId="8_{8DCE4224-FFB3-424C-866A-A6CFC6B7C6B1}" xr6:coauthVersionLast="47" xr6:coauthVersionMax="47" xr10:uidLastSave="{00000000-0000-0000-0000-000000000000}"/>
  <bookViews>
    <workbookView xWindow="117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5" i="9" l="1"/>
  <c r="B2" i="3" s="1"/>
  <c r="B48" i="9"/>
  <c r="B2" i="7" s="1"/>
  <c r="B46" i="9"/>
  <c r="B2" i="5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<sst xmlns="http://schemas.openxmlformats.org/spreadsheetml/2006/main" count="264" uniqueCount="144">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</sst>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96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SC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South Carolina</v>
      </c>
    </row>
    <row r="44" spans="1:42" x14ac:dyDescent="0.25">
      <c r="A44" t="s">
        <v>143</v>
      </c>
      <c r="B44" s="15">
        <f>SUMIFS('HIFLD Outputs'!$F$2:$F$49,'HIFLD Outputs'!$B$2:$B$49,'Data National'!$A$43)*B34</f>
        <v>2957346.4206343461</v>
      </c>
      <c r="C44" s="15">
        <f>SUMIFS('HIFLD Outputs'!$F$2:$F$49,'HIFLD Outputs'!$B$2:$B$49,'Data National'!$A$43)*C34</f>
        <v>2959593.6443582322</v>
      </c>
      <c r="D44" s="15">
        <f>SUMIFS('HIFLD Outputs'!$F$2:$F$49,'HIFLD Outputs'!$B$2:$B$49,'Data National'!$A$43)*D34</f>
        <v>2961840.8680821187</v>
      </c>
      <c r="E44" s="15">
        <f>SUMIFS('HIFLD Outputs'!$F$2:$F$49,'HIFLD Outputs'!$B$2:$B$49,'Data National'!$A$43)*E34</f>
        <v>2964088.0918060048</v>
      </c>
      <c r="F44" s="15">
        <f>SUMIFS('HIFLD Outputs'!$F$2:$F$49,'HIFLD Outputs'!$B$2:$B$49,'Data National'!$A$43)*F34</f>
        <v>2966335.3155298913</v>
      </c>
      <c r="G44" s="15">
        <f>SUMIFS('HIFLD Outputs'!$F$2:$F$49,'HIFLD Outputs'!$B$2:$B$49,'Data National'!$A$43)*G34</f>
        <v>2968582.5392537778</v>
      </c>
      <c r="H44" s="15">
        <f>SUMIFS('HIFLD Outputs'!$F$2:$F$49,'HIFLD Outputs'!$B$2:$B$49,'Data National'!$A$43)*H34</f>
        <v>2970829.7629776639</v>
      </c>
      <c r="I44" s="15">
        <f>SUMIFS('HIFLD Outputs'!$F$2:$F$49,'HIFLD Outputs'!$B$2:$B$49,'Data National'!$A$43)*I34</f>
        <v>2973076.9867015504</v>
      </c>
      <c r="J44" s="15">
        <f>SUMIFS('HIFLD Outputs'!$F$2:$F$49,'HIFLD Outputs'!$B$2:$B$49,'Data National'!$A$43)*J34</f>
        <v>2975324.2104254365</v>
      </c>
      <c r="K44" s="15">
        <f>SUMIFS('HIFLD Outputs'!$F$2:$F$49,'HIFLD Outputs'!$B$2:$B$49,'Data National'!$A$43)*K34</f>
        <v>2977571.434149323</v>
      </c>
      <c r="L44" s="15">
        <f>SUMIFS('HIFLD Outputs'!$F$2:$F$49,'HIFLD Outputs'!$B$2:$B$49,'Data National'!$A$43)*L34</f>
        <v>2979818.6578732091</v>
      </c>
      <c r="M44" s="15">
        <f>SUMIFS('HIFLD Outputs'!$F$2:$F$49,'HIFLD Outputs'!$B$2:$B$49,'Data National'!$A$43)*M34</f>
        <v>2982065.8815970956</v>
      </c>
      <c r="N44" s="15">
        <f>SUMIFS('HIFLD Outputs'!$F$2:$F$49,'HIFLD Outputs'!$B$2:$B$49,'Data National'!$A$43)*N34</f>
        <v>2984313.1053209822</v>
      </c>
      <c r="O44" s="15">
        <f>SUMIFS('HIFLD Outputs'!$F$2:$F$49,'HIFLD Outputs'!$B$2:$B$49,'Data National'!$A$43)*O34</f>
        <v>2986560.3290448682</v>
      </c>
      <c r="P44" s="15">
        <f>SUMIFS('HIFLD Outputs'!$F$2:$F$49,'HIFLD Outputs'!$B$2:$B$49,'Data National'!$A$43)*P34</f>
        <v>2988807.5527687548</v>
      </c>
      <c r="Q44" s="15">
        <f>SUMIFS('HIFLD Outputs'!$F$2:$F$49,'HIFLD Outputs'!$B$2:$B$49,'Data National'!$A$43)*Q34</f>
        <v>2991054.7764926408</v>
      </c>
      <c r="R44" s="15">
        <f>SUMIFS('HIFLD Outputs'!$F$2:$F$49,'HIFLD Outputs'!$B$2:$B$49,'Data National'!$A$43)*R34</f>
        <v>2993302.0002165274</v>
      </c>
      <c r="S44" s="15">
        <f>SUMIFS('HIFLD Outputs'!$F$2:$F$49,'HIFLD Outputs'!$B$2:$B$49,'Data National'!$A$43)*S34</f>
        <v>2995549.2239404134</v>
      </c>
      <c r="T44" s="15">
        <f>SUMIFS('HIFLD Outputs'!$F$2:$F$49,'HIFLD Outputs'!$B$2:$B$49,'Data National'!$A$43)*T34</f>
        <v>2997796.4476643</v>
      </c>
      <c r="U44" s="15">
        <f>SUMIFS('HIFLD Outputs'!$F$2:$F$49,'HIFLD Outputs'!$B$2:$B$49,'Data National'!$A$43)*U34</f>
        <v>3000043.6713881865</v>
      </c>
      <c r="V44" s="15">
        <f>SUMIFS('HIFLD Outputs'!$F$2:$F$49,'HIFLD Outputs'!$B$2:$B$49,'Data National'!$A$43)*V34</f>
        <v>3002290.8951120726</v>
      </c>
      <c r="W44" s="15">
        <f>SUMIFS('HIFLD Outputs'!$F$2:$F$49,'HIFLD Outputs'!$B$2:$B$49,'Data National'!$A$43)*W34</f>
        <v>3004538.1188359591</v>
      </c>
      <c r="X44" s="15">
        <f>SUMIFS('HIFLD Outputs'!$F$2:$F$49,'HIFLD Outputs'!$B$2:$B$49,'Data National'!$A$43)*X34</f>
        <v>3006785.3425598452</v>
      </c>
      <c r="Y44" s="15">
        <f>SUMIFS('HIFLD Outputs'!$F$2:$F$49,'HIFLD Outputs'!$B$2:$B$49,'Data National'!$A$43)*Y34</f>
        <v>3009032.5662837317</v>
      </c>
      <c r="Z44" s="15">
        <f>SUMIFS('HIFLD Outputs'!$F$2:$F$49,'HIFLD Outputs'!$B$2:$B$49,'Data National'!$A$43)*Z34</f>
        <v>3011279.7900076178</v>
      </c>
      <c r="AA44" s="15">
        <f>SUMIFS('HIFLD Outputs'!$F$2:$F$49,'HIFLD Outputs'!$B$2:$B$49,'Data National'!$A$43)*AA34</f>
        <v>3013527.0137315043</v>
      </c>
      <c r="AB44" s="15">
        <f>SUMIFS('HIFLD Outputs'!$F$2:$F$49,'HIFLD Outputs'!$B$2:$B$49,'Data National'!$A$43)*AB34</f>
        <v>3015774.2374553909</v>
      </c>
      <c r="AC44" s="15">
        <f>SUMIFS('HIFLD Outputs'!$F$2:$F$49,'HIFLD Outputs'!$B$2:$B$49,'Data National'!$A$43)*AC34</f>
        <v>3018021.4611792769</v>
      </c>
      <c r="AD44" s="15">
        <f>SUMIFS('HIFLD Outputs'!$F$2:$F$49,'HIFLD Outputs'!$B$2:$B$49,'Data National'!$A$43)*AD34</f>
        <v>3020268.6849031635</v>
      </c>
      <c r="AE44" s="15">
        <f>SUMIFS('HIFLD Outputs'!$F$2:$F$49,'HIFLD Outputs'!$B$2:$B$49,'Data National'!$A$43)*AE34</f>
        <v>3022515.9086270495</v>
      </c>
      <c r="AF44" s="15">
        <f>SUMIFS('HIFLD Outputs'!$F$2:$F$49,'HIFLD Outputs'!$B$2:$B$49,'Data National'!$A$43)*AF34</f>
        <v>3024763.1323509361</v>
      </c>
      <c r="AG44" s="15">
        <f>SUMIFS('HIFLD Outputs'!$F$2:$F$49,'HIFLD Outputs'!$B$2:$B$49,'Data National'!$A$43)*AG34</f>
        <v>3027010.3560748221</v>
      </c>
      <c r="AH44" s="15">
        <f>SUMIFS('HIFLD Outputs'!$F$2:$F$49,'HIFLD Outputs'!$B$2:$B$49,'Data National'!$A$43)*AH34</f>
        <v>3029257.5797987087</v>
      </c>
      <c r="AI44" s="15">
        <f>SUMIFS('HIFLD Outputs'!$F$2:$F$49,'HIFLD Outputs'!$B$2:$B$49,'Data National'!$A$43)*AI34</f>
        <v>3031504.8035225952</v>
      </c>
      <c r="AJ44" s="15">
        <f>SUMIFS('HIFLD Outputs'!$F$2:$F$49,'HIFLD Outputs'!$B$2:$B$49,'Data National'!$A$43)*AJ34</f>
        <v>3033752.0272464813</v>
      </c>
      <c r="AK44" s="15">
        <f>SUMIFS('HIFLD Outputs'!$F$2:$F$49,'HIFLD Outputs'!$B$2:$B$49,'Data National'!$A$43)*AK34</f>
        <v>3035999.2509703678</v>
      </c>
      <c r="AL44" s="15">
        <f>SUMIFS('HIFLD Outputs'!$F$2:$F$49,'HIFLD Outputs'!$B$2:$B$49,'Data National'!$A$43)*AL34</f>
        <v>3038246.4746942539</v>
      </c>
      <c r="AM44" s="15">
        <f>SUMIFS('HIFLD Outputs'!$F$2:$F$49,'HIFLD Outputs'!$B$2:$B$49,'Data National'!$A$43)*AM34</f>
        <v>3040493.6984181404</v>
      </c>
      <c r="AN44" s="15">
        <f>SUMIFS('HIFLD Outputs'!$F$2:$F$49,'HIFLD Outputs'!$B$2:$B$49,'Data National'!$A$43)*AN34</f>
        <v>3042740.9221420265</v>
      </c>
      <c r="AO44" s="15">
        <f>SUMIFS('HIFLD Outputs'!$F$2:$F$49,'HIFLD Outputs'!$B$2:$B$49,'Data National'!$A$43)*AO34</f>
        <v>3044988.145865913</v>
      </c>
      <c r="AP44" s="15">
        <f>SUMIFS('HIFLD Outputs'!$F$2:$F$49,'HIFLD Outputs'!$B$2:$B$49,'Data National'!$A$43)*AP34</f>
        <v>3047235.3695897995</v>
      </c>
    </row>
    <row r="45" spans="1:42" x14ac:dyDescent="0.25">
      <c r="A45" s="16" t="s">
        <v>15</v>
      </c>
      <c r="B45" s="17">
        <f>B37*SUMIFS('HIFLD Outputs'!$F$2:$F$49,'HIFLD Outputs'!$B$2:$B$49,$A$43)</f>
        <v>237690356.90920818</v>
      </c>
    </row>
    <row r="46" spans="1:42" x14ac:dyDescent="0.25">
      <c r="A46" s="16" t="s">
        <v>14</v>
      </c>
      <c r="B46" s="17">
        <f>B38*SUMIFS('HIFLD Outputs'!$F$2:$F$49,'HIFLD Outputs'!$B$2:$B$49,$A$43)</f>
        <v>373717970.8030321</v>
      </c>
    </row>
    <row r="47" spans="1:42" x14ac:dyDescent="0.25">
      <c r="A47" s="16" t="s">
        <v>16</v>
      </c>
      <c r="B47" s="17">
        <f>B39*SUMIFS('HIFLD Outputs'!$F$2:$F$49,'HIFLD Outputs'!$B$2:$B$49,$A$43)</f>
        <v>336489360.68472236</v>
      </c>
    </row>
    <row r="48" spans="1:42" x14ac:dyDescent="0.25">
      <c r="A48" s="16" t="s">
        <v>17</v>
      </c>
      <c r="B48" s="17">
        <f>B40*SUMIFS('HIFLD Outputs'!$F$2:$F$49,'HIFLD Outputs'!$B$2:$B$49,$A$43)</f>
        <v>449607060.65958649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237690356.90920818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373717970.8030321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336489360.68472236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449607060.65958649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2023-11-28T21:53:27Z</dcterms:modified>
</cp:coreProperties>
</file>