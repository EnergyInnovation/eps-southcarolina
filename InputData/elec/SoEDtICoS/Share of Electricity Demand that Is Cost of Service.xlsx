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SC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162</v>
      </c>
      <c r="C4" t="inlineStr">
        <is>
          <t>Aiken Electric Coop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SC</t>
        </is>
      </c>
      <c r="H4" t="inlineStr">
        <is>
          <t>Cooperative</t>
        </is>
      </c>
      <c r="I4" t="inlineStr">
        <is>
          <t>SC</t>
        </is>
      </c>
      <c r="J4" t="n">
        <v>101066.1</v>
      </c>
      <c r="K4" t="n">
        <v>650960</v>
      </c>
      <c r="L4" t="n">
        <v>49460</v>
      </c>
      <c r="M4" t="n">
        <v>18578.6</v>
      </c>
      <c r="N4" t="n">
        <v>142543</v>
      </c>
      <c r="O4" t="n">
        <v>3364</v>
      </c>
      <c r="P4" t="n">
        <v>14478.7</v>
      </c>
      <c r="Q4" t="n">
        <v>200397</v>
      </c>
      <c r="R4" t="n">
        <v>15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134123.4</v>
      </c>
      <c r="W4" t="n">
        <v>993900</v>
      </c>
      <c r="X4" t="n">
        <v>52839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1613</v>
      </c>
      <c r="C5" t="inlineStr">
        <is>
          <t>Berkeley Electric Coop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SC</t>
        </is>
      </c>
      <c r="H5" t="inlineStr">
        <is>
          <t>Cooperative</t>
        </is>
      </c>
      <c r="I5" t="inlineStr">
        <is>
          <t>SC</t>
        </is>
      </c>
      <c r="J5" t="n">
        <v>235265</v>
      </c>
      <c r="K5" t="n">
        <v>1575297</v>
      </c>
      <c r="L5" t="n">
        <v>115117</v>
      </c>
      <c r="M5" t="n">
        <v>240829</v>
      </c>
      <c r="N5" t="n">
        <v>3386125</v>
      </c>
      <c r="O5" t="n">
        <v>18121</v>
      </c>
      <c r="P5" t="n">
        <v>4263</v>
      </c>
      <c r="Q5" t="n">
        <v>41760</v>
      </c>
      <c r="R5" t="n">
        <v>10</v>
      </c>
      <c r="S5" t="n">
        <v>0</v>
      </c>
      <c r="T5" t="n">
        <v>0</v>
      </c>
      <c r="U5" t="n">
        <v>0</v>
      </c>
      <c r="V5" t="n">
        <v>480357</v>
      </c>
      <c r="W5" t="n">
        <v>5003182</v>
      </c>
      <c r="X5" t="n">
        <v>133248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1763</v>
      </c>
      <c r="C6" t="inlineStr">
        <is>
          <t>Black River Electric Coop, Inc - (SC)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SC</t>
        </is>
      </c>
      <c r="H6" t="inlineStr">
        <is>
          <t>Cooperative</t>
        </is>
      </c>
      <c r="I6" t="inlineStr">
        <is>
          <t>SC</t>
        </is>
      </c>
      <c r="J6" t="n">
        <v>62240.3</v>
      </c>
      <c r="K6" t="n">
        <v>462168</v>
      </c>
      <c r="L6" t="n">
        <v>30610</v>
      </c>
      <c r="M6" t="n">
        <v>17513.8</v>
      </c>
      <c r="N6" t="n">
        <v>133573</v>
      </c>
      <c r="O6" t="n">
        <v>4210</v>
      </c>
      <c r="P6" t="n">
        <v>10220.7</v>
      </c>
      <c r="Q6" t="n">
        <v>126348</v>
      </c>
      <c r="R6" t="n">
        <v>13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89974.8</v>
      </c>
      <c r="W6" t="n">
        <v>722089</v>
      </c>
      <c r="X6" t="n">
        <v>34833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1890</v>
      </c>
      <c r="C7" t="inlineStr">
        <is>
          <t>Blue Ridge Electric Coop Inc - (SC)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SC</t>
        </is>
      </c>
      <c r="H7" t="inlineStr">
        <is>
          <t>Cooperative</t>
        </is>
      </c>
      <c r="I7" t="inlineStr">
        <is>
          <t>DUK</t>
        </is>
      </c>
      <c r="J7" t="n">
        <v>153538.5</v>
      </c>
      <c r="K7" t="n">
        <v>810672</v>
      </c>
      <c r="L7" t="n">
        <v>67553</v>
      </c>
      <c r="M7" t="n">
        <v>27761.2</v>
      </c>
      <c r="N7" t="n">
        <v>199683</v>
      </c>
      <c r="O7" t="n">
        <v>5301</v>
      </c>
      <c r="P7" t="n">
        <v>13047.8</v>
      </c>
      <c r="Q7" t="n">
        <v>154713</v>
      </c>
      <c r="R7" t="n">
        <v>59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194347.5</v>
      </c>
      <c r="W7" t="n">
        <v>1165068</v>
      </c>
      <c r="X7" t="n">
        <v>72913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2212</v>
      </c>
      <c r="C8" t="inlineStr">
        <is>
          <t>Broad River Electric Coop,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SC</t>
        </is>
      </c>
      <c r="H8" t="inlineStr">
        <is>
          <t>Cooperative</t>
        </is>
      </c>
      <c r="I8" t="inlineStr">
        <is>
          <t>DUK</t>
        </is>
      </c>
      <c r="J8" t="n">
        <v>46599.3</v>
      </c>
      <c r="K8" t="n">
        <v>292858</v>
      </c>
      <c r="L8" t="n">
        <v>23140</v>
      </c>
      <c r="M8" t="n">
        <v>6417.3</v>
      </c>
      <c r="N8" t="n">
        <v>43717</v>
      </c>
      <c r="O8" t="n">
        <v>1297</v>
      </c>
      <c r="P8" t="n">
        <v>6367.9</v>
      </c>
      <c r="Q8" t="n">
        <v>76605</v>
      </c>
      <c r="R8" t="n">
        <v>11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59384.5</v>
      </c>
      <c r="W8" t="n">
        <v>413180</v>
      </c>
      <c r="X8" t="n">
        <v>24448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3046</v>
      </c>
      <c r="C9" t="inlineStr">
        <is>
          <t>Duke Energy Progress - (NC)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SC</t>
        </is>
      </c>
      <c r="H9" t="inlineStr">
        <is>
          <t>Investor Owned</t>
        </is>
      </c>
      <c r="I9" t="inlineStr">
        <is>
          <t>CPLE</t>
        </is>
      </c>
      <c r="J9" t="n">
        <v>294067.7</v>
      </c>
      <c r="K9" t="n">
        <v>1976600</v>
      </c>
      <c r="L9" t="n">
        <v>143713</v>
      </c>
      <c r="M9" t="n">
        <v>191543.1</v>
      </c>
      <c r="N9" t="n">
        <v>1654864</v>
      </c>
      <c r="O9" t="n">
        <v>32671</v>
      </c>
      <c r="P9" t="n">
        <v>153607.8</v>
      </c>
      <c r="Q9" t="n">
        <v>2180767</v>
      </c>
      <c r="R9" t="n">
        <v>422</v>
      </c>
      <c r="S9" t="n">
        <v>0</v>
      </c>
      <c r="T9" t="n">
        <v>0</v>
      </c>
      <c r="U9" t="n">
        <v>0</v>
      </c>
      <c r="V9" t="n">
        <v>639218.6</v>
      </c>
      <c r="W9" t="n">
        <v>5812231</v>
      </c>
      <c r="X9" t="n">
        <v>176806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5416</v>
      </c>
      <c r="C10" t="inlineStr">
        <is>
          <t>Duke Energy Carolinas, LLC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SC</t>
        </is>
      </c>
      <c r="H10" t="inlineStr">
        <is>
          <t>Investor Owned</t>
        </is>
      </c>
      <c r="I10" t="inlineStr">
        <is>
          <t>DUK</t>
        </is>
      </c>
      <c r="J10" t="n">
        <v>979168.3</v>
      </c>
      <c r="K10" t="n">
        <v>7000781</v>
      </c>
      <c r="L10" t="n">
        <v>568586</v>
      </c>
      <c r="M10" t="n">
        <v>639009.6</v>
      </c>
      <c r="N10" t="n">
        <v>6069714</v>
      </c>
      <c r="O10" t="n">
        <v>103936</v>
      </c>
      <c r="P10" t="n">
        <v>589568.2</v>
      </c>
      <c r="Q10" t="n">
        <v>8207655</v>
      </c>
      <c r="R10" t="n">
        <v>1500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2207746.1</v>
      </c>
      <c r="W10" t="n">
        <v>21278150</v>
      </c>
      <c r="X10" t="n">
        <v>674022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5644</v>
      </c>
      <c r="C11" t="inlineStr">
        <is>
          <t>Edisto Electric Coop, Inc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SC</t>
        </is>
      </c>
      <c r="H11" t="inlineStr">
        <is>
          <t>Cooperative</t>
        </is>
      </c>
      <c r="I11" t="inlineStr">
        <is>
          <t>SC</t>
        </is>
      </c>
      <c r="J11" t="n">
        <v>36978.6</v>
      </c>
      <c r="K11" t="n">
        <v>225535</v>
      </c>
      <c r="L11" t="n">
        <v>15421</v>
      </c>
      <c r="M11" t="n">
        <v>10378</v>
      </c>
      <c r="N11" t="n">
        <v>56887</v>
      </c>
      <c r="O11" t="n">
        <v>5863</v>
      </c>
      <c r="P11" t="n">
        <v>11004.1</v>
      </c>
      <c r="Q11" t="n">
        <v>101091</v>
      </c>
      <c r="R11" t="n">
        <v>33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58360.7</v>
      </c>
      <c r="W11" t="n">
        <v>383513</v>
      </c>
      <c r="X11" t="n">
        <v>21317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5929</v>
      </c>
      <c r="C12" t="inlineStr">
        <is>
          <t>Fairfield Electric Coop,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SC</t>
        </is>
      </c>
      <c r="H12" t="inlineStr">
        <is>
          <t>Cooperative</t>
        </is>
      </c>
      <c r="I12" t="inlineStr">
        <is>
          <t>SC</t>
        </is>
      </c>
      <c r="J12" t="n">
        <v>63647</v>
      </c>
      <c r="K12" t="n">
        <v>443569</v>
      </c>
      <c r="L12" t="n">
        <v>32397</v>
      </c>
      <c r="M12" t="n">
        <v>11310</v>
      </c>
      <c r="N12" t="n">
        <v>84472</v>
      </c>
      <c r="O12" t="n">
        <v>1818</v>
      </c>
      <c r="P12" t="n">
        <v>10358</v>
      </c>
      <c r="Q12" t="n">
        <v>143971</v>
      </c>
      <c r="R12" t="n">
        <v>17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85315</v>
      </c>
      <c r="W12" t="n">
        <v>672012</v>
      </c>
      <c r="X12" t="n">
        <v>34232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6709</v>
      </c>
      <c r="C13" t="inlineStr">
        <is>
          <t>Easley Combined Utility System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SC</t>
        </is>
      </c>
      <c r="H13" t="inlineStr">
        <is>
          <t>Municipal</t>
        </is>
      </c>
      <c r="I13" t="inlineStr">
        <is>
          <t>DUK</t>
        </is>
      </c>
      <c r="J13" t="n">
        <v>23635</v>
      </c>
      <c r="K13" t="n">
        <v>184510</v>
      </c>
      <c r="L13" t="n">
        <v>15772</v>
      </c>
      <c r="M13" t="n">
        <v>14282.1</v>
      </c>
      <c r="N13" t="n">
        <v>117280</v>
      </c>
      <c r="O13" t="n">
        <v>1641</v>
      </c>
      <c r="P13" t="n">
        <v>220.9</v>
      </c>
      <c r="Q13" t="n">
        <v>3154</v>
      </c>
      <c r="R13" t="n">
        <v>1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38138</v>
      </c>
      <c r="W13" t="n">
        <v>304944</v>
      </c>
      <c r="X13" t="n">
        <v>17414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6894</v>
      </c>
      <c r="C14" t="inlineStr">
        <is>
          <t>City of Gaffney - (SC)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SC</t>
        </is>
      </c>
      <c r="H14" t="inlineStr">
        <is>
          <t>Municipal</t>
        </is>
      </c>
      <c r="I14" t="inlineStr">
        <is>
          <t>DUK</t>
        </is>
      </c>
      <c r="J14" t="n">
        <v>8961</v>
      </c>
      <c r="K14" t="n">
        <v>72314</v>
      </c>
      <c r="L14" t="n">
        <v>6314</v>
      </c>
      <c r="M14" t="n">
        <v>14098</v>
      </c>
      <c r="N14" t="n">
        <v>94506</v>
      </c>
      <c r="O14" t="n">
        <v>1329</v>
      </c>
      <c r="P14" t="n">
        <v>5399</v>
      </c>
      <c r="Q14" t="n">
        <v>51385</v>
      </c>
      <c r="R14" t="n">
        <v>22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28458</v>
      </c>
      <c r="W14" t="n">
        <v>218205</v>
      </c>
      <c r="X14" t="n">
        <v>7665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7646</v>
      </c>
      <c r="C15" t="inlineStr">
        <is>
          <t>Greenwood CPW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SC</t>
        </is>
      </c>
      <c r="H15" t="inlineStr">
        <is>
          <t>Municipal</t>
        </is>
      </c>
      <c r="I15" t="inlineStr">
        <is>
          <t>DUK</t>
        </is>
      </c>
      <c r="J15" t="n">
        <v>10348</v>
      </c>
      <c r="K15" t="n">
        <v>114492</v>
      </c>
      <c r="L15" t="n">
        <v>11753</v>
      </c>
      <c r="M15" t="n">
        <v>12366</v>
      </c>
      <c r="N15" t="n">
        <v>169303</v>
      </c>
      <c r="O15" t="n">
        <v>2989</v>
      </c>
      <c r="P15" t="inlineStr">
        <is>
          <t>.</t>
        </is>
      </c>
      <c r="Q15" t="inlineStr">
        <is>
          <t>.</t>
        </is>
      </c>
      <c r="R15" t="inlineStr">
        <is>
          <t>.</t>
        </is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22714</v>
      </c>
      <c r="W15" t="n">
        <v>283795</v>
      </c>
      <c r="X15" t="n">
        <v>14742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7654</v>
      </c>
      <c r="C16" t="inlineStr">
        <is>
          <t>Greer Commission of Public Wks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SC</t>
        </is>
      </c>
      <c r="H16" t="inlineStr">
        <is>
          <t>Municipal</t>
        </is>
      </c>
      <c r="I16" t="inlineStr">
        <is>
          <t>DUK</t>
        </is>
      </c>
      <c r="J16" t="n">
        <v>28920</v>
      </c>
      <c r="K16" t="n">
        <v>245024</v>
      </c>
      <c r="L16" t="n">
        <v>24893</v>
      </c>
      <c r="M16" t="n">
        <v>22872</v>
      </c>
      <c r="N16" t="n">
        <v>201467</v>
      </c>
      <c r="O16" t="n">
        <v>10414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51792</v>
      </c>
      <c r="W16" t="n">
        <v>446491</v>
      </c>
      <c r="X16" t="n">
        <v>35307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8333</v>
      </c>
      <c r="C17" t="inlineStr">
        <is>
          <t>Haywood Electric Member Corp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SC</t>
        </is>
      </c>
      <c r="H17" t="inlineStr">
        <is>
          <t>Cooperative</t>
        </is>
      </c>
      <c r="I17" t="inlineStr">
        <is>
          <t>DUK</t>
        </is>
      </c>
      <c r="J17" t="n">
        <v>11</v>
      </c>
      <c r="K17" t="n">
        <v>58</v>
      </c>
      <c r="L17" t="n">
        <v>9</v>
      </c>
      <c r="M17" t="n">
        <v>9.800000000000001</v>
      </c>
      <c r="N17" t="n">
        <v>60</v>
      </c>
      <c r="O17" t="n">
        <v>5</v>
      </c>
      <c r="P17" t="inlineStr">
        <is>
          <t>.</t>
        </is>
      </c>
      <c r="Q17" t="inlineStr">
        <is>
          <t>.</t>
        </is>
      </c>
      <c r="R17" t="inlineStr">
        <is>
          <t>.</t>
        </is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20.8</v>
      </c>
      <c r="W17" t="n">
        <v>118</v>
      </c>
      <c r="X17" t="n">
        <v>14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8786</v>
      </c>
      <c r="C18" t="inlineStr">
        <is>
          <t>Horry Electric Coop Inc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SC</t>
        </is>
      </c>
      <c r="H18" t="inlineStr">
        <is>
          <t>Cooperative</t>
        </is>
      </c>
      <c r="I18" t="inlineStr">
        <is>
          <t>SC</t>
        </is>
      </c>
      <c r="J18" t="n">
        <v>146028</v>
      </c>
      <c r="K18" t="n">
        <v>1103356</v>
      </c>
      <c r="L18" t="n">
        <v>86726</v>
      </c>
      <c r="M18" t="n">
        <v>35355</v>
      </c>
      <c r="N18" t="n">
        <v>260638</v>
      </c>
      <c r="O18" t="n">
        <v>12280</v>
      </c>
      <c r="P18" t="n">
        <v>1708</v>
      </c>
      <c r="Q18" t="n">
        <v>15588</v>
      </c>
      <c r="R18" t="n">
        <v>8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183091</v>
      </c>
      <c r="W18" t="n">
        <v>1379582</v>
      </c>
      <c r="X18" t="n">
        <v>99014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10768</v>
      </c>
      <c r="C19" t="inlineStr">
        <is>
          <t>Laurens Electric Coop,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SC</t>
        </is>
      </c>
      <c r="H19" t="inlineStr">
        <is>
          <t>Cooperative</t>
        </is>
      </c>
      <c r="I19" t="inlineStr">
        <is>
          <t>DUK</t>
        </is>
      </c>
      <c r="J19" t="n">
        <v>109482</v>
      </c>
      <c r="K19" t="n">
        <v>746888</v>
      </c>
      <c r="L19" t="n">
        <v>58438</v>
      </c>
      <c r="M19" t="n">
        <v>32212</v>
      </c>
      <c r="N19" t="n">
        <v>232117</v>
      </c>
      <c r="O19" t="n">
        <v>6169</v>
      </c>
      <c r="P19" t="n">
        <v>16351</v>
      </c>
      <c r="Q19" t="n">
        <v>181956</v>
      </c>
      <c r="R19" t="n">
        <v>58</v>
      </c>
      <c r="S19" t="n">
        <v>0</v>
      </c>
      <c r="T19" t="n">
        <v>0</v>
      </c>
      <c r="U19" t="n">
        <v>0</v>
      </c>
      <c r="V19" t="n">
        <v>158045</v>
      </c>
      <c r="W19" t="n">
        <v>1160961</v>
      </c>
      <c r="X19" t="n">
        <v>64665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11118</v>
      </c>
      <c r="C20" t="inlineStr">
        <is>
          <t>Lockhart Power Co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SC</t>
        </is>
      </c>
      <c r="H20" t="inlineStr">
        <is>
          <t>Investor Owned</t>
        </is>
      </c>
      <c r="I20" t="inlineStr">
        <is>
          <t>DUK</t>
        </is>
      </c>
      <c r="J20" t="n">
        <v>8555.799999999999</v>
      </c>
      <c r="K20" t="n">
        <v>63769</v>
      </c>
      <c r="L20" t="n">
        <v>4976</v>
      </c>
      <c r="M20" t="n">
        <v>29504.3</v>
      </c>
      <c r="N20" t="n">
        <v>547375</v>
      </c>
      <c r="O20" t="n">
        <v>1357</v>
      </c>
      <c r="P20" t="n">
        <v>6987.8</v>
      </c>
      <c r="Q20" t="n">
        <v>120386</v>
      </c>
      <c r="R20" t="n">
        <v>10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45047.9</v>
      </c>
      <c r="W20" t="n">
        <v>731530</v>
      </c>
      <c r="X20" t="n">
        <v>6343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11355</v>
      </c>
      <c r="C21" t="inlineStr">
        <is>
          <t>Lynches River Elec Coop, Inc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SC</t>
        </is>
      </c>
      <c r="H21" t="inlineStr">
        <is>
          <t>Cooperative</t>
        </is>
      </c>
      <c r="I21" t="inlineStr">
        <is>
          <t>SC</t>
        </is>
      </c>
      <c r="J21" t="n">
        <v>41164</v>
      </c>
      <c r="K21" t="n">
        <v>262103</v>
      </c>
      <c r="L21" t="n">
        <v>21363</v>
      </c>
      <c r="M21" t="n">
        <v>7878</v>
      </c>
      <c r="N21" t="n">
        <v>57077</v>
      </c>
      <c r="O21" t="n">
        <v>991</v>
      </c>
      <c r="P21" t="n">
        <v>11564</v>
      </c>
      <c r="Q21" t="n">
        <v>158812</v>
      </c>
      <c r="R21" t="n">
        <v>8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60606</v>
      </c>
      <c r="W21" t="n">
        <v>477992</v>
      </c>
      <c r="X21" t="n">
        <v>22362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12462</v>
      </c>
      <c r="C22" t="inlineStr">
        <is>
          <t>Mid-Carolina Electric Coop Inc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SC</t>
        </is>
      </c>
      <c r="H22" t="inlineStr">
        <is>
          <t>Cooperative</t>
        </is>
      </c>
      <c r="I22" t="inlineStr">
        <is>
          <t>SC</t>
        </is>
      </c>
      <c r="J22" t="n">
        <v>115582.9</v>
      </c>
      <c r="K22" t="n">
        <v>776807</v>
      </c>
      <c r="L22" t="n">
        <v>56463</v>
      </c>
      <c r="M22" t="n">
        <v>30053.8</v>
      </c>
      <c r="N22" t="n">
        <v>231506</v>
      </c>
      <c r="O22" t="n">
        <v>4094</v>
      </c>
      <c r="P22" t="n">
        <v>3313.3</v>
      </c>
      <c r="Q22" t="n">
        <v>34783</v>
      </c>
      <c r="R22" t="n">
        <v>9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148950</v>
      </c>
      <c r="W22" t="n">
        <v>1043096</v>
      </c>
      <c r="X22" t="n">
        <v>60566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13524</v>
      </c>
      <c r="C23" t="inlineStr">
        <is>
          <t>Newberry Electric Coop,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SC</t>
        </is>
      </c>
      <c r="H23" t="inlineStr">
        <is>
          <t>Cooperative</t>
        </is>
      </c>
      <c r="I23" t="inlineStr">
        <is>
          <t>SC</t>
        </is>
      </c>
      <c r="J23" t="n">
        <v>25345</v>
      </c>
      <c r="K23" t="n">
        <v>155329</v>
      </c>
      <c r="L23" t="n">
        <v>12970</v>
      </c>
      <c r="M23" t="n">
        <v>10059.2</v>
      </c>
      <c r="N23" t="n">
        <v>142968</v>
      </c>
      <c r="O23" t="n">
        <v>741</v>
      </c>
      <c r="P23" t="n">
        <v>14971.8</v>
      </c>
      <c r="Q23" t="n">
        <v>175301</v>
      </c>
      <c r="R23" t="n">
        <v>26</v>
      </c>
      <c r="S23" t="n">
        <v>0</v>
      </c>
      <c r="T23" t="n">
        <v>0</v>
      </c>
      <c r="U23" t="n">
        <v>0</v>
      </c>
      <c r="V23" t="n">
        <v>50376</v>
      </c>
      <c r="W23" t="n">
        <v>473598</v>
      </c>
      <c r="X23" t="n">
        <v>13737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14164</v>
      </c>
      <c r="C24" t="inlineStr">
        <is>
          <t>City of Orangeburg - (SC)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SC</t>
        </is>
      </c>
      <c r="H24" t="inlineStr">
        <is>
          <t>Municipal</t>
        </is>
      </c>
      <c r="I24" t="inlineStr">
        <is>
          <t>SCEG</t>
        </is>
      </c>
      <c r="J24" t="n">
        <v>40812</v>
      </c>
      <c r="K24" t="n">
        <v>263507</v>
      </c>
      <c r="L24" t="n">
        <v>20639</v>
      </c>
      <c r="M24" t="n">
        <v>32002.7</v>
      </c>
      <c r="N24" t="n">
        <v>252377</v>
      </c>
      <c r="O24" t="n">
        <v>3710</v>
      </c>
      <c r="P24" t="n">
        <v>21000.1</v>
      </c>
      <c r="Q24" t="n">
        <v>230843</v>
      </c>
      <c r="R24" t="n">
        <v>112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93814.8</v>
      </c>
      <c r="W24" t="n">
        <v>746727</v>
      </c>
      <c r="X24" t="n">
        <v>24461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14175</v>
      </c>
      <c r="C25" t="inlineStr">
        <is>
          <t>Tri-County Electric Coop, Inc (SC)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SC</t>
        </is>
      </c>
      <c r="H25" t="inlineStr">
        <is>
          <t>Cooperative</t>
        </is>
      </c>
      <c r="I25" t="inlineStr">
        <is>
          <t>SC</t>
        </is>
      </c>
      <c r="J25" t="n">
        <v>43120</v>
      </c>
      <c r="K25" t="n">
        <v>232956</v>
      </c>
      <c r="L25" t="n">
        <v>17672</v>
      </c>
      <c r="M25" t="n">
        <v>6470</v>
      </c>
      <c r="N25" t="n">
        <v>40286</v>
      </c>
      <c r="O25" t="n">
        <v>521</v>
      </c>
      <c r="P25" t="n">
        <v>3050</v>
      </c>
      <c r="Q25" t="n">
        <v>27317</v>
      </c>
      <c r="R25" t="n">
        <v>273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52640</v>
      </c>
      <c r="W25" t="n">
        <v>300559</v>
      </c>
      <c r="X25" t="n">
        <v>18466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14398</v>
      </c>
      <c r="C26" t="inlineStr">
        <is>
          <t>Palmetto Electric Coop Inc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SC</t>
        </is>
      </c>
      <c r="H26" t="inlineStr">
        <is>
          <t>Cooperative</t>
        </is>
      </c>
      <c r="I26" t="inlineStr">
        <is>
          <t>SC</t>
        </is>
      </c>
      <c r="J26" t="n">
        <v>126187.3</v>
      </c>
      <c r="K26" t="n">
        <v>986672</v>
      </c>
      <c r="L26" t="n">
        <v>68338</v>
      </c>
      <c r="M26" t="n">
        <v>56687.5</v>
      </c>
      <c r="N26" t="n">
        <v>471914</v>
      </c>
      <c r="O26" t="n">
        <v>11651</v>
      </c>
      <c r="P26" t="n">
        <v>8025.3</v>
      </c>
      <c r="Q26" t="n">
        <v>90949</v>
      </c>
      <c r="R26" t="n">
        <v>26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190900.1</v>
      </c>
      <c r="W26" t="n">
        <v>1549535</v>
      </c>
      <c r="X26" t="n">
        <v>80015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16195</v>
      </c>
      <c r="C27" t="inlineStr">
        <is>
          <t>City of Rock Hill - (SC)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SC</t>
        </is>
      </c>
      <c r="H27" t="inlineStr">
        <is>
          <t>Municipal</t>
        </is>
      </c>
      <c r="I27" t="inlineStr">
        <is>
          <t>DUK</t>
        </is>
      </c>
      <c r="J27" t="n">
        <v>45256</v>
      </c>
      <c r="K27" t="n">
        <v>360691</v>
      </c>
      <c r="L27" t="n">
        <v>36492</v>
      </c>
      <c r="M27" t="n">
        <v>51559</v>
      </c>
      <c r="N27" t="n">
        <v>403075</v>
      </c>
      <c r="O27" t="n">
        <v>3847</v>
      </c>
      <c r="P27" t="n">
        <v>8767</v>
      </c>
      <c r="Q27" t="n">
        <v>88057</v>
      </c>
      <c r="R27" t="n">
        <v>40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105582</v>
      </c>
      <c r="W27" t="n">
        <v>851823</v>
      </c>
      <c r="X27" t="n">
        <v>40379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16606</v>
      </c>
      <c r="C28" t="inlineStr">
        <is>
          <t>Santee Electric Coop, Inc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SC</t>
        </is>
      </c>
      <c r="H28" t="inlineStr">
        <is>
          <t>Cooperative</t>
        </is>
      </c>
      <c r="I28" t="inlineStr">
        <is>
          <t>SC</t>
        </is>
      </c>
      <c r="J28" t="n">
        <v>78003</v>
      </c>
      <c r="K28" t="n">
        <v>529109</v>
      </c>
      <c r="L28" t="n">
        <v>35235</v>
      </c>
      <c r="M28" t="n">
        <v>20465.3</v>
      </c>
      <c r="N28" t="n">
        <v>136962</v>
      </c>
      <c r="O28" t="n">
        <v>9605</v>
      </c>
      <c r="P28" t="n">
        <v>32902.1</v>
      </c>
      <c r="Q28" t="n">
        <v>481918</v>
      </c>
      <c r="R28" t="n">
        <v>15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131370.4</v>
      </c>
      <c r="W28" t="n">
        <v>1147989</v>
      </c>
      <c r="X28" t="n">
        <v>44855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17539</v>
      </c>
      <c r="C29" t="inlineStr">
        <is>
          <t>Dominion Energy South Carolina, Inc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SC</t>
        </is>
      </c>
      <c r="H29" t="inlineStr">
        <is>
          <t>Investor Owned</t>
        </is>
      </c>
      <c r="I29" t="inlineStr">
        <is>
          <t>SCEG</t>
        </is>
      </c>
      <c r="J29" t="n">
        <v>1258517.2</v>
      </c>
      <c r="K29" t="n">
        <v>8626724</v>
      </c>
      <c r="L29" t="n">
        <v>696385</v>
      </c>
      <c r="M29" t="n">
        <v>919148.5</v>
      </c>
      <c r="N29" t="n">
        <v>7842225</v>
      </c>
      <c r="O29" t="n">
        <v>109264</v>
      </c>
      <c r="P29" t="n">
        <v>388812</v>
      </c>
      <c r="Q29" t="n">
        <v>5253133</v>
      </c>
      <c r="R29" t="n">
        <v>785</v>
      </c>
      <c r="S29" t="n">
        <v>0</v>
      </c>
      <c r="T29" t="n">
        <v>0</v>
      </c>
      <c r="U29" t="n">
        <v>0</v>
      </c>
      <c r="V29" t="n">
        <v>2566477.7</v>
      </c>
      <c r="W29" t="n">
        <v>21722082</v>
      </c>
      <c r="X29" t="n">
        <v>806434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17543</v>
      </c>
      <c r="C30" t="inlineStr">
        <is>
          <t>South Carolina Public Service Authority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SC</t>
        </is>
      </c>
      <c r="H30" t="inlineStr">
        <is>
          <t>State</t>
        </is>
      </c>
      <c r="I30" t="inlineStr">
        <is>
          <t>SC</t>
        </is>
      </c>
      <c r="J30" t="n">
        <v>239381.3</v>
      </c>
      <c r="K30" t="n">
        <v>2103044</v>
      </c>
      <c r="L30" t="n">
        <v>185529</v>
      </c>
      <c r="M30" t="n">
        <v>187643.1</v>
      </c>
      <c r="N30" t="n">
        <v>1989136</v>
      </c>
      <c r="O30" t="n">
        <v>30938</v>
      </c>
      <c r="P30" t="n">
        <v>304621.7</v>
      </c>
      <c r="Q30" t="n">
        <v>5994535</v>
      </c>
      <c r="R30" t="n">
        <v>27</v>
      </c>
      <c r="S30" t="n">
        <v>0</v>
      </c>
      <c r="T30" t="n">
        <v>0</v>
      </c>
      <c r="U30" t="n">
        <v>0</v>
      </c>
      <c r="V30" t="n">
        <v>731646.1</v>
      </c>
      <c r="W30" t="n">
        <v>10086715</v>
      </c>
      <c r="X30" t="n">
        <v>216494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21002</v>
      </c>
      <c r="C31" t="inlineStr">
        <is>
          <t>York Electric Coop Inc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SC</t>
        </is>
      </c>
      <c r="H31" t="inlineStr">
        <is>
          <t>Cooperative</t>
        </is>
      </c>
      <c r="I31" t="inlineStr">
        <is>
          <t>DUK</t>
        </is>
      </c>
      <c r="J31" t="n">
        <v>106977</v>
      </c>
      <c r="K31" t="n">
        <v>845442</v>
      </c>
      <c r="L31" t="n">
        <v>65244</v>
      </c>
      <c r="M31" t="n">
        <v>30976</v>
      </c>
      <c r="N31" t="n">
        <v>257703</v>
      </c>
      <c r="O31" t="n">
        <v>5041</v>
      </c>
      <c r="P31" t="n">
        <v>7443</v>
      </c>
      <c r="Q31" t="n">
        <v>74091</v>
      </c>
      <c r="R31" t="n">
        <v>28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145396</v>
      </c>
      <c r="W31" t="n">
        <v>1177236</v>
      </c>
      <c r="X31" t="n">
        <v>70313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59579</v>
      </c>
      <c r="C32" t="inlineStr">
        <is>
          <t>Sunnova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SC</t>
        </is>
      </c>
      <c r="H32" t="inlineStr">
        <is>
          <t>Behind the Meter</t>
        </is>
      </c>
      <c r="I32" t="inlineStr">
        <is>
          <t>CPLE</t>
        </is>
      </c>
      <c r="J32" t="n">
        <v>3.5</v>
      </c>
      <c r="K32" t="n">
        <v>15</v>
      </c>
      <c r="L32" t="n">
        <v>2</v>
      </c>
      <c r="M32" t="inlineStr">
        <is>
          <t>.</t>
        </is>
      </c>
      <c r="N32" t="inlineStr">
        <is>
          <t>.</t>
        </is>
      </c>
      <c r="O32" t="inlineStr">
        <is>
          <t>.</t>
        </is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3.5</v>
      </c>
      <c r="W32" t="n">
        <v>15</v>
      </c>
      <c r="X32" t="n">
        <v>2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59579</v>
      </c>
      <c r="C33" t="inlineStr">
        <is>
          <t>Sunnova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SC</t>
        </is>
      </c>
      <c r="H33" t="inlineStr">
        <is>
          <t>Behind the Meter</t>
        </is>
      </c>
      <c r="I33" t="inlineStr">
        <is>
          <t>DUK</t>
        </is>
      </c>
      <c r="J33" t="n">
        <v>624.7</v>
      </c>
      <c r="K33" t="n">
        <v>2701</v>
      </c>
      <c r="L33" t="n">
        <v>275</v>
      </c>
      <c r="M33" t="inlineStr">
        <is>
          <t>.</t>
        </is>
      </c>
      <c r="N33" t="inlineStr">
        <is>
          <t>.</t>
        </is>
      </c>
      <c r="O33" t="inlineStr">
        <is>
          <t>.</t>
        </is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624.7</v>
      </c>
      <c r="W33" t="n">
        <v>2701</v>
      </c>
      <c r="X33" t="n">
        <v>275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59579</v>
      </c>
      <c r="C34" t="inlineStr">
        <is>
          <t>Sunnova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SC</t>
        </is>
      </c>
      <c r="H34" t="inlineStr">
        <is>
          <t>Behind the Meter</t>
        </is>
      </c>
      <c r="I34" t="inlineStr">
        <is>
          <t>SCEG</t>
        </is>
      </c>
      <c r="J34" t="n">
        <v>10.6</v>
      </c>
      <c r="K34" t="n">
        <v>46</v>
      </c>
      <c r="L34" t="n">
        <v>5</v>
      </c>
      <c r="M34" t="inlineStr">
        <is>
          <t>.</t>
        </is>
      </c>
      <c r="N34" t="inlineStr">
        <is>
          <t>.</t>
        </is>
      </c>
      <c r="O34" t="inlineStr">
        <is>
          <t>.</t>
        </is>
      </c>
      <c r="P34" t="inlineStr">
        <is>
          <t>.</t>
        </is>
      </c>
      <c r="Q34" t="inlineStr">
        <is>
          <t>.</t>
        </is>
      </c>
      <c r="R34" t="inlineStr">
        <is>
          <t>.</t>
        </is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10.6</v>
      </c>
      <c r="W34" t="n">
        <v>46</v>
      </c>
      <c r="X34" t="n">
        <v>5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59579</v>
      </c>
      <c r="C35" t="inlineStr">
        <is>
          <t>Sunnova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SC</t>
        </is>
      </c>
      <c r="H35" t="inlineStr">
        <is>
          <t>Behind the Meter</t>
        </is>
      </c>
      <c r="I35" t="inlineStr">
        <is>
          <t>SC</t>
        </is>
      </c>
      <c r="J35" t="n">
        <v>36.9</v>
      </c>
      <c r="K35" t="n">
        <v>159</v>
      </c>
      <c r="L35" t="n">
        <v>16</v>
      </c>
      <c r="M35" t="inlineStr">
        <is>
          <t>.</t>
        </is>
      </c>
      <c r="N35" t="inlineStr">
        <is>
          <t>.</t>
        </is>
      </c>
      <c r="O35" t="inlineStr">
        <is>
          <t>.</t>
        </is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36.9</v>
      </c>
      <c r="W35" t="n">
        <v>159</v>
      </c>
      <c r="X35" t="n">
        <v>16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59647</v>
      </c>
      <c r="C36" t="inlineStr">
        <is>
          <t>Sunrun Inc.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SC</t>
        </is>
      </c>
      <c r="H36" t="inlineStr">
        <is>
          <t>Behind the Meter</t>
        </is>
      </c>
      <c r="I36" t="inlineStr">
        <is>
          <t>DUK</t>
        </is>
      </c>
      <c r="J36" t="n">
        <v>5595.6</v>
      </c>
      <c r="K36" t="n">
        <v>37959</v>
      </c>
      <c r="L36" t="n">
        <v>3648</v>
      </c>
      <c r="M36" t="inlineStr">
        <is>
          <t>.</t>
        </is>
      </c>
      <c r="N36" t="inlineStr">
        <is>
          <t>.</t>
        </is>
      </c>
      <c r="O36" t="inlineStr">
        <is>
          <t>.</t>
        </is>
      </c>
      <c r="P36" t="inlineStr">
        <is>
          <t>.</t>
        </is>
      </c>
      <c r="Q36" t="inlineStr">
        <is>
          <t>.</t>
        </is>
      </c>
      <c r="R36" t="inlineStr">
        <is>
          <t>.</t>
        </is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5595.6</v>
      </c>
      <c r="W36" t="n">
        <v>37959</v>
      </c>
      <c r="X36" t="n">
        <v>3648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59647</v>
      </c>
      <c r="C37" t="inlineStr">
        <is>
          <t>Sunrun Inc.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SC</t>
        </is>
      </c>
      <c r="H37" t="inlineStr">
        <is>
          <t>Behind the Meter</t>
        </is>
      </c>
      <c r="I37" t="inlineStr">
        <is>
          <t>SCEG</t>
        </is>
      </c>
      <c r="J37" t="n">
        <v>6223.5</v>
      </c>
      <c r="K37" t="n">
        <v>31043</v>
      </c>
      <c r="L37" t="n">
        <v>3718</v>
      </c>
      <c r="M37" t="inlineStr">
        <is>
          <t>.</t>
        </is>
      </c>
      <c r="N37" t="inlineStr">
        <is>
          <t>.</t>
        </is>
      </c>
      <c r="O37" t="inlineStr">
        <is>
          <t>.</t>
        </is>
      </c>
      <c r="P37" t="inlineStr">
        <is>
          <t>.</t>
        </is>
      </c>
      <c r="Q37" t="inlineStr">
        <is>
          <t>.</t>
        </is>
      </c>
      <c r="R37" t="inlineStr">
        <is>
          <t>.</t>
        </is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6223.5</v>
      </c>
      <c r="W37" t="n">
        <v>31043</v>
      </c>
      <c r="X37" t="n">
        <v>3718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66073</v>
      </c>
      <c r="C38" t="inlineStr">
        <is>
          <t>MPD Electric Cooperative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SC</t>
        </is>
      </c>
      <c r="H38" t="inlineStr">
        <is>
          <t>Cooperative</t>
        </is>
      </c>
      <c r="I38" t="inlineStr">
        <is>
          <t>SC</t>
        </is>
      </c>
      <c r="J38" t="n">
        <v>54936</v>
      </c>
      <c r="K38" t="n">
        <v>501964</v>
      </c>
      <c r="L38" t="n">
        <v>31874</v>
      </c>
      <c r="M38" t="n">
        <v>37587</v>
      </c>
      <c r="N38" t="n">
        <v>476280</v>
      </c>
      <c r="O38" t="n">
        <v>6715</v>
      </c>
      <c r="P38" t="n">
        <v>54669</v>
      </c>
      <c r="Q38" t="n">
        <v>767621</v>
      </c>
      <c r="R38" t="n">
        <v>23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147192</v>
      </c>
      <c r="W38" t="n">
        <v>1745865</v>
      </c>
      <c r="X38" t="n">
        <v>38612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99999</v>
      </c>
      <c r="C39" t="inlineStr">
        <is>
          <t>Adjustment 2024</t>
        </is>
      </c>
      <c r="D39" t="inlineStr">
        <is>
          <t>A</t>
        </is>
      </c>
      <c r="E39" t="inlineStr">
        <is>
          <t>Bundled</t>
        </is>
      </c>
      <c r="F39" t="inlineStr">
        <is>
          <t>I</t>
        </is>
      </c>
      <c r="G39" t="inlineStr">
        <is>
          <t>SC</t>
        </is>
      </c>
      <c r="H39" t="inlineStr"/>
      <c r="I39" t="inlineStr">
        <is>
          <t>CPLE</t>
        </is>
      </c>
      <c r="J39" t="n">
        <v>16213.9</v>
      </c>
      <c r="K39" t="n">
        <v>103851</v>
      </c>
      <c r="L39" t="n">
        <v>10300</v>
      </c>
      <c r="M39" t="n">
        <v>10664.9</v>
      </c>
      <c r="N39" t="n">
        <v>66021</v>
      </c>
      <c r="O39" t="n">
        <v>1371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26878.8</v>
      </c>
      <c r="W39" t="n">
        <v>169872</v>
      </c>
      <c r="X39" t="n">
        <v>11671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99999</v>
      </c>
      <c r="C40" t="inlineStr">
        <is>
          <t>Adjustment 2024</t>
        </is>
      </c>
      <c r="D40" t="inlineStr">
        <is>
          <t>A</t>
        </is>
      </c>
      <c r="E40" t="inlineStr">
        <is>
          <t>Bundled</t>
        </is>
      </c>
      <c r="F40" t="inlineStr">
        <is>
          <t>I</t>
        </is>
      </c>
      <c r="G40" t="inlineStr">
        <is>
          <t>SC</t>
        </is>
      </c>
      <c r="H40" t="inlineStr"/>
      <c r="I40" t="inlineStr">
        <is>
          <t>DUK</t>
        </is>
      </c>
      <c r="J40" t="n">
        <v>73124.89999999999</v>
      </c>
      <c r="K40" t="n">
        <v>464979</v>
      </c>
      <c r="L40" t="n">
        <v>40212</v>
      </c>
      <c r="M40" t="n">
        <v>49191.3</v>
      </c>
      <c r="N40" t="n">
        <v>366158</v>
      </c>
      <c r="O40" t="n">
        <v>8000</v>
      </c>
      <c r="P40" t="n">
        <v>14178.6</v>
      </c>
      <c r="Q40" t="n">
        <v>112458</v>
      </c>
      <c r="R40" t="n">
        <v>41</v>
      </c>
      <c r="S40" t="n">
        <v>0</v>
      </c>
      <c r="T40" t="n">
        <v>0</v>
      </c>
      <c r="U40" t="n">
        <v>0</v>
      </c>
      <c r="V40" t="n">
        <v>136494.8</v>
      </c>
      <c r="W40" t="n">
        <v>943595</v>
      </c>
      <c r="X40" t="n">
        <v>48253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99999</v>
      </c>
      <c r="C41" t="inlineStr">
        <is>
          <t>Adjustment 2024</t>
        </is>
      </c>
      <c r="D41" t="inlineStr">
        <is>
          <t>A</t>
        </is>
      </c>
      <c r="E41" t="inlineStr">
        <is>
          <t>Bundled</t>
        </is>
      </c>
      <c r="F41" t="inlineStr">
        <is>
          <t>I</t>
        </is>
      </c>
      <c r="G41" t="inlineStr">
        <is>
          <t>SC</t>
        </is>
      </c>
      <c r="H41" t="inlineStr"/>
      <c r="I41" t="inlineStr">
        <is>
          <t>SCEG</t>
        </is>
      </c>
      <c r="J41" t="n">
        <v>6927.4</v>
      </c>
      <c r="K41" t="n">
        <v>39906</v>
      </c>
      <c r="L41" t="n">
        <v>-183</v>
      </c>
      <c r="M41" t="n">
        <v>4433.1</v>
      </c>
      <c r="N41" t="n">
        <v>28045</v>
      </c>
      <c r="O41" t="n">
        <v>708</v>
      </c>
      <c r="P41" t="n">
        <v>54.8</v>
      </c>
      <c r="Q41" t="n">
        <v>3436</v>
      </c>
      <c r="R41" t="n">
        <v>6</v>
      </c>
      <c r="S41" t="n">
        <v>0</v>
      </c>
      <c r="T41" t="n">
        <v>0</v>
      </c>
      <c r="U41" t="n">
        <v>0</v>
      </c>
      <c r="V41" t="n">
        <v>11415.3</v>
      </c>
      <c r="W41" t="n">
        <v>71387</v>
      </c>
      <c r="X41" t="n">
        <v>531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99999</v>
      </c>
      <c r="C42" t="inlineStr">
        <is>
          <t>Adjustment 2024</t>
        </is>
      </c>
      <c r="D42" t="inlineStr">
        <is>
          <t>A</t>
        </is>
      </c>
      <c r="E42" t="inlineStr">
        <is>
          <t>Bundled</t>
        </is>
      </c>
      <c r="F42" t="inlineStr">
        <is>
          <t>I</t>
        </is>
      </c>
      <c r="G42" t="inlineStr">
        <is>
          <t>SC</t>
        </is>
      </c>
      <c r="H42" t="inlineStr"/>
      <c r="I42" t="inlineStr">
        <is>
          <t>SC</t>
        </is>
      </c>
      <c r="J42" t="n">
        <v>39566.2</v>
      </c>
      <c r="K42" t="n">
        <v>250958</v>
      </c>
      <c r="L42" t="n">
        <v>20807</v>
      </c>
      <c r="M42" t="n">
        <v>18909.2</v>
      </c>
      <c r="N42" t="n">
        <v>150167</v>
      </c>
      <c r="O42" t="n">
        <v>3425</v>
      </c>
      <c r="P42" t="n">
        <v>1344.6</v>
      </c>
      <c r="Q42" t="n">
        <v>11358</v>
      </c>
      <c r="R42" t="n">
        <v>6</v>
      </c>
      <c r="S42" t="n">
        <v>0</v>
      </c>
      <c r="T42" t="n">
        <v>0</v>
      </c>
      <c r="U42" t="n">
        <v>0</v>
      </c>
      <c r="V42" t="n">
        <v>59820</v>
      </c>
      <c r="W42" t="n">
        <v>412483</v>
      </c>
      <c r="X42" t="n">
        <v>24238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SC</t>
        </is>
      </c>
      <c r="B2">
        <f>SUMIFS('EIA-861 Sales 2024'!$Y$4:$Y$42,'EIA-861 Sales 2024'!$Z$4:$Z$42,"cost_service")</f>
        <v/>
      </c>
      <c r="C2">
        <f>SUMIFS('EIA-861 Sales 2024'!$Y$4:$Y$42,'EIA-861 Sales 2024'!$Z$4:$Z$42,"procurement")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