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AD3382A6-A1BB-48BD-9AF2-2855973E0A04}"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<sst xmlns="http://schemas.openxmlformats.org/spreadsheetml/2006/main" count="5677" uniqueCount="335">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</sst>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159</v>
      </c>
    </row>
    <row r="2" spans="1:2" x14ac:dyDescent="0.25">
      <c r="A2" s="3" t="s">
        <v>2</v>
      </c>
      <c r="B2" s="4" t="str">
        <f>IFERROR(INDEX(Geography!B:B, MATCH($B$1, Geography!C:C, 0)), "")</f>
        <v>SC</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2661965</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0.98004207282826217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2816866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1.0196221286505003</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3780966</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0.91833675726469144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1407815</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1.8809208685986121</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118981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0.33632150521677479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171069</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0.65948150300429498</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435995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0.40780074346623507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5042836</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5478831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1.1435796640024045</v>
      </c>
    </row>
    <row r="12" spans="1:28" x14ac:dyDescent="0.25">
      <c r="A12" s="4" t="s">
        <v>319</v>
      </c>
    </row>
    <row r="13" spans="1:28" x14ac:dyDescent="0.25">
      <c r="A13" s="4" t="s">
        <v>320</v>
      </c>
      <c r="B13" s="37">
        <f>INDEX(Census_pop_2020_2025!G:G, MATCH("."&amp;About!$B$1, Census_pop_2020_2025!A:A, 0))</f>
        <v>5490316</v>
      </c>
      <c r="C13" s="37">
        <f>INDEX(Census_pop_2020_2025!H:H, MATCH("."&amp;About!$B$1, Census_pop_2020_2025!A:A, 0))</f>
        <v>5570274</v>
      </c>
      <c r="D13" s="37">
        <f>INDEX(Census_pop_2020_2025!H:H, MATCH("."&amp;About!$B$1, Census_pop_2020_2025!A:A, 0))+0.2*(INDEX(Cooper_pop_2030_2050!D:D, MATCH(About!$B$1, Cooper_pop_2030_2050!B:B, 0))-INDEX(Census_pop_2020_2025!H:H, MATCH("."&amp;About!$B$1, Census_pop_2020_2025!A:A, 0)))</f>
        <v>5559119.350386586</v>
      </c>
      <c r="E13" s="37">
        <f>INDEX(Census_pop_2020_2025!H:H, MATCH("."&amp;About!$B$1, Census_pop_2020_2025!A:A, 0))+0.4*(INDEX(Cooper_pop_2030_2050!D:D, MATCH(About!$B$1, Cooper_pop_2030_2050!B:B, 0))-INDEX(Census_pop_2020_2025!H:H, MATCH("."&amp;About!$B$1, Census_pop_2020_2025!A:A, 0)))</f>
        <v>5547964.7007731711</v>
      </c>
      <c r="F13" s="37">
        <f>INDEX(Census_pop_2020_2025!H:H, MATCH("."&amp;About!$B$1, Census_pop_2020_2025!A:A, 0))+0.6*(INDEX(Cooper_pop_2030_2050!D:D, MATCH(About!$B$1, Cooper_pop_2030_2050!B:B, 0))-INDEX(Census_pop_2020_2025!H:H, MATCH("."&amp;About!$B$1, Census_pop_2020_2025!A:A, 0)))</f>
        <v>5536810.0511597572</v>
      </c>
      <c r="G13" s="37">
        <f>INDEX(Census_pop_2020_2025!H:H, MATCH("."&amp;About!$B$1, Census_pop_2020_2025!A:A, 0))+0.8*(INDEX(Cooper_pop_2030_2050!D:D, MATCH(About!$B$1, Cooper_pop_2030_2050!B:B, 0))-INDEX(Census_pop_2020_2025!H:H, MATCH("."&amp;About!$B$1, Census_pop_2020_2025!A:A, 0)))</f>
        <v>5525655.4015463423</v>
      </c>
      <c r="H13" s="37">
        <f>INDEX(Cooper_pop_2030_2050!D:D, MATCH(About!$B$1, Cooper_pop_2030_2050!B:B, 0))</f>
        <v>5514500.7519329283</v>
      </c>
      <c r="I13" s="37">
        <f>INDEX(Cooper_pop_2030_2050!D:D, MATCH(About!$B$1, Cooper_pop_2030_2050!B:B, 0))+0.1*(INDEX(Cooper_pop_2030_2050!E:E, MATCH(About!$B$1, Cooper_pop_2030_2050!B:B, 0))-INDEX(Cooper_pop_2030_2050!D:D, MATCH(About!$B$1, Cooper_pop_2030_2050!B:B, 0)))</f>
        <v>5549759.6811375646</v>
      </c>
      <c r="J13" s="37">
        <f>INDEX(Cooper_pop_2030_2050!D:D, MATCH(About!$B$1, Cooper_pop_2030_2050!B:B, 0))+0.2*(INDEX(Cooper_pop_2030_2050!E:E, MATCH(About!$B$1, Cooper_pop_2030_2050!B:B, 0))-INDEX(Cooper_pop_2030_2050!D:D, MATCH(About!$B$1, Cooper_pop_2030_2050!B:B, 0)))</f>
        <v>5585018.6103422008</v>
      </c>
      <c r="K13" s="37">
        <f>INDEX(Cooper_pop_2030_2050!D:D, MATCH(About!$B$1, Cooper_pop_2030_2050!B:B, 0))+0.3*(INDEX(Cooper_pop_2030_2050!E:E, MATCH(About!$B$1, Cooper_pop_2030_2050!B:B, 0))-INDEX(Cooper_pop_2030_2050!D:D, MATCH(About!$B$1, Cooper_pop_2030_2050!B:B, 0)))</f>
        <v>5620277.539546838</v>
      </c>
      <c r="L13" s="37">
        <f>INDEX(Cooper_pop_2030_2050!D:D, MATCH(About!$B$1, Cooper_pop_2030_2050!B:B, 0))+0.4*(INDEX(Cooper_pop_2030_2050!E:E, MATCH(About!$B$1, Cooper_pop_2030_2050!B:B, 0))-INDEX(Cooper_pop_2030_2050!D:D, MATCH(About!$B$1, Cooper_pop_2030_2050!B:B, 0)))</f>
        <v>5655536.4687514743</v>
      </c>
      <c r="M13" s="37">
        <f>INDEX(Cooper_pop_2030_2050!D:D, MATCH(About!$B$1, Cooper_pop_2030_2050!B:B, 0))+0.5*(INDEX(Cooper_pop_2030_2050!E:E, MATCH(About!$B$1, Cooper_pop_2030_2050!B:B, 0))-INDEX(Cooper_pop_2030_2050!D:D, MATCH(About!$B$1, Cooper_pop_2030_2050!B:B, 0)))</f>
        <v>5690795.3979561105</v>
      </c>
      <c r="N13" s="37">
        <f>INDEX(Cooper_pop_2030_2050!D:D, MATCH(About!$B$1, Cooper_pop_2030_2050!B:B, 0))+0.6*(INDEX(Cooper_pop_2030_2050!E:E, MATCH(About!$B$1, Cooper_pop_2030_2050!B:B, 0))-INDEX(Cooper_pop_2030_2050!D:D, MATCH(About!$B$1, Cooper_pop_2030_2050!B:B, 0)))</f>
        <v>5726054.3271607468</v>
      </c>
      <c r="O13" s="37">
        <f>INDEX(Cooper_pop_2030_2050!D:D, MATCH(About!$B$1, Cooper_pop_2030_2050!B:B, 0))+0.7*(INDEX(Cooper_pop_2030_2050!E:E, MATCH(About!$B$1, Cooper_pop_2030_2050!B:B, 0))-INDEX(Cooper_pop_2030_2050!D:D, MATCH(About!$B$1, Cooper_pop_2030_2050!B:B, 0)))</f>
        <v>5761313.256365383</v>
      </c>
      <c r="P13" s="37">
        <f>INDEX(Cooper_pop_2030_2050!D:D, MATCH(About!$B$1, Cooper_pop_2030_2050!B:B, 0))+0.8*(INDEX(Cooper_pop_2030_2050!E:E, MATCH(About!$B$1, Cooper_pop_2030_2050!B:B, 0))-INDEX(Cooper_pop_2030_2050!D:D, MATCH(About!$B$1, Cooper_pop_2030_2050!B:B, 0)))</f>
        <v>5796572.1855700202</v>
      </c>
      <c r="Q13" s="37">
        <f>INDEX(Cooper_pop_2030_2050!D:D, MATCH(About!$B$1, Cooper_pop_2030_2050!B:B, 0))+0.9*(INDEX(Cooper_pop_2030_2050!E:E, MATCH(About!$B$1, Cooper_pop_2030_2050!B:B, 0))-INDEX(Cooper_pop_2030_2050!D:D, MATCH(About!$B$1, Cooper_pop_2030_2050!B:B, 0)))</f>
        <v>5831831.1147746565</v>
      </c>
      <c r="R13" s="37">
        <f>INDEX(Cooper_pop_2030_2050!E:E, MATCH(About!$B$1, Cooper_pop_2030_2050!B:B, 0))</f>
        <v>5867090.0439792927</v>
      </c>
      <c r="S13" s="37">
        <f>INDEX(Cooper_pop_2030_2050!E:E, MATCH(About!$B$1, Cooper_pop_2030_2050!B:B, 0))+0.1*(INDEX(Cooper_pop_2030_2050!F:F, MATCH(About!$B$1, Cooper_pop_2030_2050!B:B, 0))-INDEX(Cooper_pop_2030_2050!E:E, MATCH(About!$B$1, Cooper_pop_2030_2050!B:B, 0)))</f>
        <v>5897288.805521965</v>
      </c>
      <c r="T13" s="37">
        <f>INDEX(Cooper_pop_2030_2050!E:E, MATCH(About!$B$1, Cooper_pop_2030_2050!B:B, 0))+0.2*(INDEX(Cooper_pop_2030_2050!F:F, MATCH(About!$B$1, Cooper_pop_2030_2050!B:B, 0))-INDEX(Cooper_pop_2030_2050!E:E, MATCH(About!$B$1, Cooper_pop_2030_2050!B:B, 0)))</f>
        <v>5927487.5670646364</v>
      </c>
      <c r="U13" s="37">
        <f>INDEX(Cooper_pop_2030_2050!E:E, MATCH(About!$B$1, Cooper_pop_2030_2050!B:B, 0))+0.3*(INDEX(Cooper_pop_2030_2050!F:F, MATCH(About!$B$1, Cooper_pop_2030_2050!B:B, 0))-INDEX(Cooper_pop_2030_2050!E:E, MATCH(About!$B$1, Cooper_pop_2030_2050!B:B, 0)))</f>
        <v>5957686.3286073087</v>
      </c>
      <c r="V13" s="37">
        <f>INDEX(Cooper_pop_2030_2050!E:E, MATCH(About!$B$1, Cooper_pop_2030_2050!B:B, 0))+0.4*(INDEX(Cooper_pop_2030_2050!F:F, MATCH(About!$B$1, Cooper_pop_2030_2050!B:B, 0))-INDEX(Cooper_pop_2030_2050!E:E, MATCH(About!$B$1, Cooper_pop_2030_2050!B:B, 0)))</f>
        <v>5987885.090149981</v>
      </c>
      <c r="W13" s="37">
        <f>INDEX(Cooper_pop_2030_2050!E:E, MATCH(About!$B$1, Cooper_pop_2030_2050!B:B, 0))+0.5*(INDEX(Cooper_pop_2030_2050!F:F, MATCH(About!$B$1, Cooper_pop_2030_2050!B:B, 0))-INDEX(Cooper_pop_2030_2050!E:E, MATCH(About!$B$1, Cooper_pop_2030_2050!B:B, 0)))</f>
        <v>6018083.8516926523</v>
      </c>
      <c r="X13" s="37">
        <f>INDEX(Cooper_pop_2030_2050!E:E, MATCH(About!$B$1, Cooper_pop_2030_2050!B:B, 0))+0.6*(INDEX(Cooper_pop_2030_2050!F:F, MATCH(About!$B$1, Cooper_pop_2030_2050!B:B, 0))-INDEX(Cooper_pop_2030_2050!E:E, MATCH(About!$B$1, Cooper_pop_2030_2050!B:B, 0)))</f>
        <v>6048282.6132353246</v>
      </c>
      <c r="Y13" s="37">
        <f>INDEX(Cooper_pop_2030_2050!E:E, MATCH(About!$B$1, Cooper_pop_2030_2050!B:B, 0))+0.7*(INDEX(Cooper_pop_2030_2050!F:F, MATCH(About!$B$1, Cooper_pop_2030_2050!B:B, 0))-INDEX(Cooper_pop_2030_2050!E:E, MATCH(About!$B$1, Cooper_pop_2030_2050!B:B, 0)))</f>
        <v>6078481.3747779969</v>
      </c>
      <c r="Z13" s="37">
        <f>INDEX(Cooper_pop_2030_2050!E:E, MATCH(About!$B$1, Cooper_pop_2030_2050!B:B, 0))+0.8*(INDEX(Cooper_pop_2030_2050!F:F, MATCH(About!$B$1, Cooper_pop_2030_2050!B:B, 0))-INDEX(Cooper_pop_2030_2050!E:E, MATCH(About!$B$1, Cooper_pop_2030_2050!B:B, 0)))</f>
        <v>6108680.1363206692</v>
      </c>
      <c r="AA13" s="37">
        <f>INDEX(Cooper_pop_2030_2050!E:E, MATCH(About!$B$1, Cooper_pop_2030_2050!B:B, 0))+0.9*(INDEX(Cooper_pop_2030_2050!F:F, MATCH(About!$B$1, Cooper_pop_2030_2050!B:B, 0))-INDEX(Cooper_pop_2030_2050!E:E, MATCH(About!$B$1, Cooper_pop_2030_2050!B:B, 0)))</f>
        <v>6138878.8978633406</v>
      </c>
      <c r="AB13" s="37">
        <f>INDEX(Cooper_pop_2030_2050!F:F, MATCH(About!$B$1, Cooper_pop_2030_2050!B:B, 0))</f>
        <v>6169077.6594060129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1.6316811177940344E-2</v>
      </c>
      <c r="C15" s="39">
        <f t="shared" si="1"/>
        <v>1.6479307878500601E-2</v>
      </c>
      <c r="D15" s="39">
        <f t="shared" si="1"/>
        <v>1.6373801926775997E-2</v>
      </c>
      <c r="E15" s="39">
        <f t="shared" si="1"/>
        <v>1.6271099012546739E-2</v>
      </c>
      <c r="F15" s="39">
        <f t="shared" si="1"/>
        <v>1.6171309074175799E-2</v>
      </c>
      <c r="G15" s="39">
        <f t="shared" si="1"/>
        <v>1.6074456620454675E-2</v>
      </c>
      <c r="H15" s="39">
        <f t="shared" si="1"/>
        <v>1.5980652565875129E-2</v>
      </c>
      <c r="I15" s="39">
        <f t="shared" si="1"/>
        <v>1.6024055768443176E-2</v>
      </c>
      <c r="J15" s="39">
        <f t="shared" si="1"/>
        <v>1.60699104734379E-2</v>
      </c>
      <c r="K15" s="39">
        <f t="shared" si="1"/>
        <v>1.6117718193981848E-2</v>
      </c>
      <c r="L15" s="39">
        <f t="shared" si="1"/>
        <v>1.6167560993174842E-2</v>
      </c>
      <c r="M15" s="39">
        <f t="shared" si="1"/>
        <v>1.6219511531681042E-2</v>
      </c>
      <c r="N15" s="39">
        <f t="shared" si="1"/>
        <v>1.6273628616084047E-2</v>
      </c>
      <c r="O15" s="39">
        <f t="shared" si="1"/>
        <v>1.632997309812375E-2</v>
      </c>
      <c r="P15" s="39">
        <f t="shared" si="1"/>
        <v>1.6388586606151199E-2</v>
      </c>
      <c r="Q15" s="39">
        <f t="shared" si="1"/>
        <v>1.6449478275034447E-2</v>
      </c>
      <c r="R15" s="39">
        <f t="shared" si="1"/>
        <v>1.6512638351957633E-2</v>
      </c>
      <c r="S15" s="39">
        <f t="shared" si="1"/>
        <v>1.6563857314764202E-2</v>
      </c>
      <c r="T15" s="39">
        <f t="shared" si="1"/>
        <v>1.6617317779485576E-2</v>
      </c>
      <c r="U15" s="39">
        <f t="shared" si="1"/>
        <v>1.6672906075915685E-2</v>
      </c>
      <c r="V15" s="39">
        <f t="shared" si="1"/>
        <v>1.6730450704108106E-2</v>
      </c>
      <c r="W15" s="39">
        <f t="shared" si="1"/>
        <v>1.6789749705711711E-2</v>
      </c>
      <c r="X15" s="39">
        <f t="shared" si="1"/>
        <v>1.685059079605265E-2</v>
      </c>
      <c r="Y15" s="39">
        <f t="shared" si="1"/>
        <v>1.6912843289103863E-2</v>
      </c>
      <c r="Z15" s="39">
        <f t="shared" si="1"/>
        <v>1.6976300758412024E-2</v>
      </c>
      <c r="AA15" s="39">
        <f t="shared" si="1"/>
        <v>1.7040749629961775E-2</v>
      </c>
      <c r="AB15" s="39">
        <f t="shared" si="1"/>
        <v>1.7105976363054814E-2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150.49282039443105</v>
      </c>
      <c r="C48" s="37">
        <f t="shared" si="10"/>
        <v>150.84487658587466</v>
      </c>
      <c r="D48" s="37">
        <f t="shared" si="10"/>
        <v>148.72373298471885</v>
      </c>
      <c r="E48" s="37">
        <f t="shared" si="10"/>
        <v>146.642741305328</v>
      </c>
      <c r="F48" s="37">
        <f t="shared" si="10"/>
        <v>144.57059410699463</v>
      </c>
      <c r="G48" s="37">
        <f t="shared" si="10"/>
        <v>142.50746168723677</v>
      </c>
      <c r="H48" s="37">
        <f t="shared" si="10"/>
        <v>140.45423201257105</v>
      </c>
      <c r="I48" s="37">
        <f t="shared" si="10"/>
        <v>139.65788484893147</v>
      </c>
      <c r="J48" s="37">
        <f t="shared" si="10"/>
        <v>138.76609873293967</v>
      </c>
      <c r="K48" s="37">
        <f t="shared" si="10"/>
        <v>137.89944620684111</v>
      </c>
      <c r="L48" s="37">
        <f t="shared" si="10"/>
        <v>136.94738416912261</v>
      </c>
      <c r="M48" s="37">
        <f t="shared" si="10"/>
        <v>136.02039227605093</v>
      </c>
      <c r="N48" s="37">
        <f t="shared" si="10"/>
        <v>135.13452743195052</v>
      </c>
      <c r="O48" s="37">
        <f t="shared" si="10"/>
        <v>134.06601635250638</v>
      </c>
      <c r="P48" s="37">
        <f t="shared" si="10"/>
        <v>133.0535023519972</v>
      </c>
      <c r="Q48" s="37">
        <f t="shared" si="10"/>
        <v>131.95186473020331</v>
      </c>
      <c r="R48" s="37">
        <f t="shared" si="10"/>
        <v>130.84020437358498</v>
      </c>
      <c r="S48" s="37">
        <f t="shared" si="10"/>
        <v>129.57401746732236</v>
      </c>
      <c r="T48" s="37">
        <f t="shared" si="10"/>
        <v>128.31479835368802</v>
      </c>
      <c r="U48" s="37">
        <f t="shared" si="10"/>
        <v>127.06100197321133</v>
      </c>
      <c r="V48" s="37">
        <f t="shared" si="10"/>
        <v>125.81069429215985</v>
      </c>
      <c r="W48" s="37">
        <f t="shared" si="10"/>
        <v>124.57823921727417</v>
      </c>
      <c r="X48" s="37">
        <f t="shared" si="10"/>
        <v>123.47733086864274</v>
      </c>
      <c r="Y48" s="37">
        <f t="shared" si="10"/>
        <v>122.37542509319351</v>
      </c>
      <c r="Z48" s="37">
        <f t="shared" si="10"/>
        <v>121.35384465097448</v>
      </c>
      <c r="AA48" s="37">
        <f t="shared" si="10"/>
        <v>120.34489535678466</v>
      </c>
      <c r="AB48" s="37">
        <f t="shared" si="10"/>
        <v>119.33025575904323</v>
      </c>
    </row>
    <row r="49" spans="1:28" x14ac:dyDescent="0.25">
      <c r="A49" s="4" t="s">
        <v>216</v>
      </c>
      <c r="B49" s="37">
        <f t="shared" ref="B49:AB49" si="11">B29*B15*$F$5</f>
        <v>124.84391102228274</v>
      </c>
      <c r="C49" s="37">
        <f t="shared" si="11"/>
        <v>125.39830365505081</v>
      </c>
      <c r="D49" s="37">
        <f t="shared" si="11"/>
        <v>123.91096372968242</v>
      </c>
      <c r="E49" s="37">
        <f t="shared" si="11"/>
        <v>122.43694986664099</v>
      </c>
      <c r="F49" s="37">
        <f t="shared" si="11"/>
        <v>120.96054992824278</v>
      </c>
      <c r="G49" s="37">
        <f t="shared" si="11"/>
        <v>119.51494426320131</v>
      </c>
      <c r="H49" s="37">
        <f t="shared" si="11"/>
        <v>118.08426297074284</v>
      </c>
      <c r="I49" s="37">
        <f t="shared" si="11"/>
        <v>117.58805389053069</v>
      </c>
      <c r="J49" s="37">
        <f t="shared" si="11"/>
        <v>117.1544397176705</v>
      </c>
      <c r="K49" s="37">
        <f t="shared" si="11"/>
        <v>116.63197120454853</v>
      </c>
      <c r="L49" s="37">
        <f t="shared" si="11"/>
        <v>116.15192162056169</v>
      </c>
      <c r="M49" s="37">
        <f t="shared" si="11"/>
        <v>115.58249461361808</v>
      </c>
      <c r="N49" s="37">
        <f t="shared" si="11"/>
        <v>114.93937746771603</v>
      </c>
      <c r="O49" s="37">
        <f t="shared" si="11"/>
        <v>114.38826126675553</v>
      </c>
      <c r="P49" s="37">
        <f t="shared" si="11"/>
        <v>113.67925631105416</v>
      </c>
      <c r="Q49" s="37">
        <f t="shared" si="11"/>
        <v>113.0114343397225</v>
      </c>
      <c r="R49" s="37">
        <f t="shared" si="11"/>
        <v>112.26679197568096</v>
      </c>
      <c r="S49" s="37">
        <f t="shared" si="11"/>
        <v>111.43280024511616</v>
      </c>
      <c r="T49" s="37">
        <f t="shared" si="11"/>
        <v>110.57253003217208</v>
      </c>
      <c r="U49" s="37">
        <f t="shared" si="11"/>
        <v>109.71841295218746</v>
      </c>
      <c r="V49" s="37">
        <f t="shared" si="11"/>
        <v>108.9029818611485</v>
      </c>
      <c r="W49" s="37">
        <f t="shared" si="11"/>
        <v>108.10775011203208</v>
      </c>
      <c r="X49" s="37">
        <f t="shared" si="11"/>
        <v>107.29681417677837</v>
      </c>
      <c r="Y49" s="37">
        <f t="shared" si="11"/>
        <v>106.5550586162088</v>
      </c>
      <c r="Z49" s="37">
        <f t="shared" si="11"/>
        <v>105.79512563000019</v>
      </c>
      <c r="AA49" s="37">
        <f t="shared" si="11"/>
        <v>105.08475848876319</v>
      </c>
      <c r="AB49" s="37">
        <f t="shared" si="11"/>
        <v>104.47537587133912</v>
      </c>
    </row>
    <row r="50" spans="1:28" x14ac:dyDescent="0.25">
      <c r="A50" s="4" t="s">
        <v>217</v>
      </c>
      <c r="B50" s="37">
        <f t="shared" ref="B50:AB50" si="12">B30*B15*$F$6</f>
        <v>147.71550016032094</v>
      </c>
      <c r="C50" s="37">
        <f t="shared" si="12"/>
        <v>148.20289588015174</v>
      </c>
      <c r="D50" s="37">
        <f t="shared" si="12"/>
        <v>146.29170566643967</v>
      </c>
      <c r="E50" s="37">
        <f t="shared" si="12"/>
        <v>144.38791166459484</v>
      </c>
      <c r="F50" s="37">
        <f t="shared" si="12"/>
        <v>142.50738951453175</v>
      </c>
      <c r="G50" s="37">
        <f t="shared" si="12"/>
        <v>140.66485265905379</v>
      </c>
      <c r="H50" s="37">
        <f t="shared" si="12"/>
        <v>138.80202016746924</v>
      </c>
      <c r="I50" s="37">
        <f t="shared" si="12"/>
        <v>138.14892072568293</v>
      </c>
      <c r="J50" s="37">
        <f t="shared" si="12"/>
        <v>137.43743076866926</v>
      </c>
      <c r="K50" s="37">
        <f t="shared" si="12"/>
        <v>136.67698692312624</v>
      </c>
      <c r="L50" s="37">
        <f t="shared" si="12"/>
        <v>135.85247964846437</v>
      </c>
      <c r="M50" s="37">
        <f t="shared" si="12"/>
        <v>134.96335601088083</v>
      </c>
      <c r="N50" s="37">
        <f t="shared" si="12"/>
        <v>134.00886783605719</v>
      </c>
      <c r="O50" s="37">
        <f t="shared" si="12"/>
        <v>132.94321490730016</v>
      </c>
      <c r="P50" s="37">
        <f t="shared" si="12"/>
        <v>131.82506512370932</v>
      </c>
      <c r="Q50" s="37">
        <f t="shared" si="12"/>
        <v>130.63807633081763</v>
      </c>
      <c r="R50" s="37">
        <f t="shared" si="12"/>
        <v>129.38063665143815</v>
      </c>
      <c r="S50" s="37">
        <f t="shared" si="12"/>
        <v>127.97181730676408</v>
      </c>
      <c r="T50" s="37">
        <f t="shared" si="12"/>
        <v>126.5688761472681</v>
      </c>
      <c r="U50" s="37">
        <f t="shared" si="12"/>
        <v>125.1702249369701</v>
      </c>
      <c r="V50" s="37">
        <f t="shared" si="12"/>
        <v>123.78926148478898</v>
      </c>
      <c r="W50" s="37">
        <f t="shared" si="12"/>
        <v>122.4548730308311</v>
      </c>
      <c r="X50" s="37">
        <f t="shared" si="12"/>
        <v>121.1809419194006</v>
      </c>
      <c r="Y50" s="37">
        <f t="shared" si="12"/>
        <v>119.93567668382916</v>
      </c>
      <c r="Z50" s="37">
        <f t="shared" si="12"/>
        <v>118.73314289093096</v>
      </c>
      <c r="AA50" s="37">
        <f t="shared" si="12"/>
        <v>117.60333787538748</v>
      </c>
      <c r="AB50" s="37">
        <f t="shared" si="12"/>
        <v>116.51400058356981</v>
      </c>
    </row>
    <row r="51" spans="1:28" x14ac:dyDescent="0.25">
      <c r="A51" s="4" t="s">
        <v>218</v>
      </c>
      <c r="B51" s="37">
        <f t="shared" ref="B51:AB51" si="13">B31*B15*$F$7</f>
        <v>143.57077019740558</v>
      </c>
      <c r="C51" s="37">
        <f t="shared" si="13"/>
        <v>143.04780491950419</v>
      </c>
      <c r="D51" s="37">
        <f t="shared" si="13"/>
        <v>140.22250060502489</v>
      </c>
      <c r="E51" s="37">
        <f t="shared" si="13"/>
        <v>137.38427244823538</v>
      </c>
      <c r="F51" s="37">
        <f t="shared" si="13"/>
        <v>134.53418183710565</v>
      </c>
      <c r="G51" s="37">
        <f t="shared" si="13"/>
        <v>131.73294041962555</v>
      </c>
      <c r="H51" s="37">
        <f t="shared" si="13"/>
        <v>128.89017437654775</v>
      </c>
      <c r="I51" s="37">
        <f t="shared" si="13"/>
        <v>127.19071937459057</v>
      </c>
      <c r="J51" s="37">
        <f t="shared" si="13"/>
        <v>125.49930681883511</v>
      </c>
      <c r="K51" s="37">
        <f t="shared" si="13"/>
        <v>123.81116683144913</v>
      </c>
      <c r="L51" s="37">
        <f t="shared" si="13"/>
        <v>122.18698971720912</v>
      </c>
      <c r="M51" s="37">
        <f t="shared" si="13"/>
        <v>120.65762807633018</v>
      </c>
      <c r="N51" s="37">
        <f t="shared" si="13"/>
        <v>119.13181465870801</v>
      </c>
      <c r="O51" s="37">
        <f t="shared" si="13"/>
        <v>117.70136368876186</v>
      </c>
      <c r="P51" s="37">
        <f t="shared" si="13"/>
        <v>116.2742935389912</v>
      </c>
      <c r="Q51" s="37">
        <f t="shared" si="13"/>
        <v>114.91178010827663</v>
      </c>
      <c r="R51" s="37">
        <f t="shared" si="13"/>
        <v>113.58263892464173</v>
      </c>
      <c r="S51" s="37">
        <f t="shared" si="13"/>
        <v>112.15909759618712</v>
      </c>
      <c r="T51" s="37">
        <f t="shared" si="13"/>
        <v>110.77076710132114</v>
      </c>
      <c r="U51" s="37">
        <f t="shared" si="13"/>
        <v>109.38513442056993</v>
      </c>
      <c r="V51" s="37">
        <f t="shared" si="13"/>
        <v>108.06335739101294</v>
      </c>
      <c r="W51" s="37">
        <f t="shared" si="13"/>
        <v>106.70946403746947</v>
      </c>
      <c r="X51" s="37">
        <f t="shared" si="13"/>
        <v>105.416332317276</v>
      </c>
      <c r="Y51" s="37">
        <f t="shared" si="13"/>
        <v>104.21519435902884</v>
      </c>
      <c r="Z51" s="37">
        <f t="shared" si="13"/>
        <v>103.00965881550228</v>
      </c>
      <c r="AA51" s="37">
        <f t="shared" si="13"/>
        <v>101.86221447068706</v>
      </c>
      <c r="AB51" s="37">
        <f t="shared" si="13"/>
        <v>100.70771218654633</v>
      </c>
    </row>
    <row r="52" spans="1:28" x14ac:dyDescent="0.25">
      <c r="A52" s="4" t="s">
        <v>219</v>
      </c>
      <c r="B52" s="37">
        <f t="shared" ref="B52:AB52" si="14">B32*B15*$F$8</f>
        <v>4.7249049608001039</v>
      </c>
      <c r="C52" s="37">
        <f t="shared" si="14"/>
        <v>4.7885866248625728</v>
      </c>
      <c r="D52" s="37">
        <f t="shared" si="14"/>
        <v>4.7744491026867246</v>
      </c>
      <c r="E52" s="37">
        <f t="shared" si="14"/>
        <v>4.7663911654563114</v>
      </c>
      <c r="F52" s="37">
        <f t="shared" si="14"/>
        <v>4.7589141330084317</v>
      </c>
      <c r="G52" s="37">
        <f t="shared" si="14"/>
        <v>4.7520370071509657</v>
      </c>
      <c r="H52" s="37">
        <f t="shared" si="14"/>
        <v>4.7458045816411696</v>
      </c>
      <c r="I52" s="37">
        <f t="shared" si="14"/>
        <v>4.780251050923952</v>
      </c>
      <c r="J52" s="37">
        <f t="shared" si="14"/>
        <v>4.8155489229007742</v>
      </c>
      <c r="K52" s="37">
        <f t="shared" si="14"/>
        <v>4.8623995135628153</v>
      </c>
      <c r="L52" s="37">
        <f t="shared" si="14"/>
        <v>4.8991861024666274</v>
      </c>
      <c r="M52" s="37">
        <f t="shared" si="14"/>
        <v>4.9367483316553029</v>
      </c>
      <c r="N52" s="37">
        <f t="shared" si="14"/>
        <v>4.9751126857936514</v>
      </c>
      <c r="O52" s="37">
        <f t="shared" si="14"/>
        <v>5.0143065939820124</v>
      </c>
      <c r="P52" s="37">
        <f t="shared" si="14"/>
        <v>5.0488400500327213</v>
      </c>
      <c r="Q52" s="37">
        <f t="shared" si="14"/>
        <v>5.0897282300110032</v>
      </c>
      <c r="R52" s="37">
        <f t="shared" si="14"/>
        <v>5.1203780655514448</v>
      </c>
      <c r="S52" s="37">
        <f t="shared" si="14"/>
        <v>5.152972817475078</v>
      </c>
      <c r="T52" s="37">
        <f t="shared" si="14"/>
        <v>5.1919592739554563</v>
      </c>
      <c r="U52" s="37">
        <f t="shared" si="14"/>
        <v>5.2205423439123715</v>
      </c>
      <c r="V52" s="37">
        <f t="shared" si="14"/>
        <v>5.2554408797524825</v>
      </c>
      <c r="W52" s="37">
        <f t="shared" si="14"/>
        <v>5.2910083979638785</v>
      </c>
      <c r="X52" s="37">
        <f t="shared" si="14"/>
        <v>5.3215158806408169</v>
      </c>
      <c r="Y52" s="37">
        <f t="shared" si="14"/>
        <v>5.36392819647509</v>
      </c>
      <c r="Z52" s="37">
        <f t="shared" si="14"/>
        <v>5.395472797757308</v>
      </c>
      <c r="AA52" s="37">
        <f t="shared" si="14"/>
        <v>5.4274185255956819</v>
      </c>
      <c r="AB52" s="37">
        <f t="shared" si="14"/>
        <v>5.4596992249752825</v>
      </c>
    </row>
    <row r="53" spans="1:28" x14ac:dyDescent="0.25">
      <c r="A53" s="4" t="s">
        <v>220</v>
      </c>
      <c r="B53" s="37">
        <f t="shared" ref="B53:AB53" si="15">B33*B15*$F$9</f>
        <v>16.334644172675645</v>
      </c>
      <c r="C53" s="37">
        <f t="shared" si="15"/>
        <v>16.63859985284985</v>
      </c>
      <c r="D53" s="37">
        <f t="shared" si="15"/>
        <v>16.640056256534443</v>
      </c>
      <c r="E53" s="37">
        <f t="shared" si="15"/>
        <v>16.664449156602313</v>
      </c>
      <c r="F53" s="37">
        <f t="shared" si="15"/>
        <v>16.67955829035888</v>
      </c>
      <c r="G53" s="37">
        <f t="shared" si="15"/>
        <v>16.675069115330722</v>
      </c>
      <c r="H53" s="37">
        <f t="shared" si="15"/>
        <v>16.714766410188577</v>
      </c>
      <c r="I53" s="37">
        <f t="shared" si="15"/>
        <v>16.855271569924088</v>
      </c>
      <c r="J53" s="37">
        <f t="shared" si="15"/>
        <v>17.009482983028498</v>
      </c>
      <c r="K53" s="37">
        <f t="shared" si="15"/>
        <v>17.134491275541713</v>
      </c>
      <c r="L53" s="37">
        <f t="shared" si="15"/>
        <v>17.272776026381941</v>
      </c>
      <c r="M53" s="37">
        <f t="shared" si="15"/>
        <v>17.381760244726326</v>
      </c>
      <c r="N53" s="37">
        <f t="shared" si="15"/>
        <v>17.514880320400302</v>
      </c>
      <c r="O53" s="37">
        <f t="shared" si="15"/>
        <v>17.62936898693507</v>
      </c>
      <c r="P53" s="37">
        <f t="shared" si="15"/>
        <v>17.725070352510667</v>
      </c>
      <c r="Q53" s="37">
        <f t="shared" si="15"/>
        <v>17.801775843244648</v>
      </c>
      <c r="R53" s="37">
        <f t="shared" si="15"/>
        <v>17.881018035739061</v>
      </c>
      <c r="S53" s="37">
        <f t="shared" si="15"/>
        <v>17.936481443717565</v>
      </c>
      <c r="T53" s="37">
        <f t="shared" si="15"/>
        <v>17.950536848978601</v>
      </c>
      <c r="U53" s="37">
        <f t="shared" si="15"/>
        <v>17.988594087133102</v>
      </c>
      <c r="V53" s="37">
        <f t="shared" si="15"/>
        <v>18.006545970896269</v>
      </c>
      <c r="W53" s="37">
        <f t="shared" si="15"/>
        <v>18.026077815969568</v>
      </c>
      <c r="X53" s="37">
        <f t="shared" si="15"/>
        <v>18.069173688067796</v>
      </c>
      <c r="Y53" s="37">
        <f t="shared" si="15"/>
        <v>18.080159553358772</v>
      </c>
      <c r="Z53" s="37">
        <f t="shared" si="15"/>
        <v>18.125605713829422</v>
      </c>
      <c r="AA53" s="37">
        <f t="shared" si="15"/>
        <v>18.138227513755339</v>
      </c>
      <c r="AB53" s="37">
        <f t="shared" si="15"/>
        <v>18.185092903648492</v>
      </c>
    </row>
    <row r="54" spans="1:28" x14ac:dyDescent="0.25">
      <c r="A54" s="4" t="s">
        <v>221</v>
      </c>
      <c r="B54" s="37">
        <f t="shared" ref="B54:AB54" si="16">B34*B15*$F$10</f>
        <v>25.558043688480389</v>
      </c>
      <c r="C54" s="37">
        <f t="shared" si="16"/>
        <v>25.920096835979521</v>
      </c>
      <c r="D54" s="37">
        <f t="shared" si="16"/>
        <v>25.874338321543977</v>
      </c>
      <c r="E54" s="37">
        <f t="shared" si="16"/>
        <v>25.838116272238231</v>
      </c>
      <c r="F54" s="37">
        <f t="shared" si="16"/>
        <v>25.824735016569878</v>
      </c>
      <c r="G54" s="37">
        <f t="shared" si="16"/>
        <v>25.78805986874659</v>
      </c>
      <c r="H54" s="37">
        <f t="shared" si="16"/>
        <v>25.748358811883367</v>
      </c>
      <c r="I54" s="37">
        <f t="shared" si="16"/>
        <v>25.922844901623549</v>
      </c>
      <c r="J54" s="37">
        <f t="shared" si="16"/>
        <v>26.088772646683683</v>
      </c>
      <c r="K54" s="37">
        <f t="shared" si="16"/>
        <v>26.245260127702849</v>
      </c>
      <c r="L54" s="37">
        <f t="shared" si="16"/>
        <v>26.385759858995716</v>
      </c>
      <c r="M54" s="37">
        <f t="shared" si="16"/>
        <v>26.510230076005037</v>
      </c>
      <c r="N54" s="37">
        <f t="shared" si="16"/>
        <v>26.618591770463748</v>
      </c>
      <c r="O54" s="37">
        <f t="shared" si="16"/>
        <v>26.710753807666119</v>
      </c>
      <c r="P54" s="37">
        <f t="shared" si="16"/>
        <v>26.766527598408707</v>
      </c>
      <c r="Q54" s="37">
        <f t="shared" si="16"/>
        <v>26.805605442882154</v>
      </c>
      <c r="R54" s="37">
        <f t="shared" si="16"/>
        <v>26.807521328335724</v>
      </c>
      <c r="S54" s="37">
        <f t="shared" si="16"/>
        <v>26.78935169737851</v>
      </c>
      <c r="T54" s="37">
        <f t="shared" si="16"/>
        <v>26.747060788676503</v>
      </c>
      <c r="U54" s="37">
        <f t="shared" si="16"/>
        <v>26.68015298849841</v>
      </c>
      <c r="V54" s="37">
        <f t="shared" si="16"/>
        <v>26.61531460931154</v>
      </c>
      <c r="W54" s="37">
        <f t="shared" si="16"/>
        <v>26.517936854004592</v>
      </c>
      <c r="X54" s="37">
        <f t="shared" si="16"/>
        <v>26.45598129973094</v>
      </c>
      <c r="Y54" s="37">
        <f t="shared" si="16"/>
        <v>26.388190077966062</v>
      </c>
      <c r="Z54" s="37">
        <f t="shared" si="16"/>
        <v>26.321048564371143</v>
      </c>
      <c r="AA54" s="37">
        <f t="shared" si="16"/>
        <v>26.26114156188272</v>
      </c>
      <c r="AB54" s="37">
        <f t="shared" si="16"/>
        <v>26.215168683664547</v>
      </c>
    </row>
    <row r="55" spans="1:28" x14ac:dyDescent="0.25">
      <c r="A55" s="4" t="s">
        <v>222</v>
      </c>
      <c r="B55" s="37">
        <f t="shared" ref="B55:AB55" si="17">B35*B15*$F$11</f>
        <v>243.95526321286607</v>
      </c>
      <c r="C55" s="37">
        <f t="shared" si="17"/>
        <v>243.9725660931415</v>
      </c>
      <c r="D55" s="37">
        <f t="shared" si="17"/>
        <v>239.95763159865254</v>
      </c>
      <c r="E55" s="37">
        <f t="shared" si="17"/>
        <v>235.97775249686839</v>
      </c>
      <c r="F55" s="37">
        <f t="shared" si="17"/>
        <v>231.94146603735851</v>
      </c>
      <c r="G55" s="37">
        <f t="shared" si="17"/>
        <v>228.01555877970986</v>
      </c>
      <c r="H55" s="37">
        <f t="shared" si="17"/>
        <v>224.12643091491293</v>
      </c>
      <c r="I55" s="37">
        <f t="shared" si="17"/>
        <v>222.1513602099152</v>
      </c>
      <c r="J55" s="37">
        <f t="shared" si="17"/>
        <v>220.15912938075874</v>
      </c>
      <c r="K55" s="37">
        <f t="shared" si="17"/>
        <v>218.1230425514884</v>
      </c>
      <c r="L55" s="37">
        <f t="shared" si="17"/>
        <v>216.07970380767716</v>
      </c>
      <c r="M55" s="37">
        <f t="shared" si="17"/>
        <v>214.01032633316566</v>
      </c>
      <c r="N55" s="37">
        <f t="shared" si="17"/>
        <v>211.95146239345326</v>
      </c>
      <c r="O55" s="37">
        <f t="shared" si="17"/>
        <v>209.82808817102537</v>
      </c>
      <c r="P55" s="37">
        <f t="shared" si="17"/>
        <v>207.69501366779568</v>
      </c>
      <c r="Q55" s="37">
        <f t="shared" si="17"/>
        <v>205.55095314133536</v>
      </c>
      <c r="R55" s="37">
        <f t="shared" si="17"/>
        <v>203.41324963019613</v>
      </c>
      <c r="S55" s="37">
        <f t="shared" si="17"/>
        <v>201.05134732093569</v>
      </c>
      <c r="T55" s="37">
        <f t="shared" si="17"/>
        <v>198.73574464961445</v>
      </c>
      <c r="U55" s="37">
        <f t="shared" si="17"/>
        <v>196.5024029588343</v>
      </c>
      <c r="V55" s="37">
        <f t="shared" si="17"/>
        <v>194.31071804651819</v>
      </c>
      <c r="W55" s="37">
        <f t="shared" si="17"/>
        <v>192.25376868367556</v>
      </c>
      <c r="X55" s="37">
        <f t="shared" si="17"/>
        <v>190.23337050893764</v>
      </c>
      <c r="Y55" s="37">
        <f t="shared" si="17"/>
        <v>188.30576397627519</v>
      </c>
      <c r="Z55" s="37">
        <f t="shared" si="17"/>
        <v>186.44967725543168</v>
      </c>
      <c r="AA55" s="37">
        <f t="shared" si="17"/>
        <v>184.64363362531293</v>
      </c>
      <c r="AB55" s="37">
        <f t="shared" si="17"/>
        <v>182.90513666085101</v>
      </c>
    </row>
    <row r="57" spans="1:28" x14ac:dyDescent="0.25">
      <c r="A57" s="4" t="s">
        <v>327</v>
      </c>
    </row>
    <row r="58" spans="1:28" x14ac:dyDescent="0.25">
      <c r="A58" s="4" t="s">
        <v>215</v>
      </c>
      <c r="B58" s="37">
        <f t="shared" ref="B58:AB58" si="18">B38*B15*$F$4</f>
        <v>23864.217894143498</v>
      </c>
      <c r="C58" s="37">
        <f t="shared" si="18"/>
        <v>24540.894830261761</v>
      </c>
      <c r="D58" s="37">
        <f t="shared" si="18"/>
        <v>24816.371370573481</v>
      </c>
      <c r="E58" s="37">
        <f t="shared" si="18"/>
        <v>25088.841262471487</v>
      </c>
      <c r="F58" s="37">
        <f t="shared" si="18"/>
        <v>25360.490571777485</v>
      </c>
      <c r="G58" s="37">
        <f t="shared" si="18"/>
        <v>25632.076397352463</v>
      </c>
      <c r="H58" s="37">
        <f t="shared" si="18"/>
        <v>25901.855920165748</v>
      </c>
      <c r="I58" s="37">
        <f t="shared" si="18"/>
        <v>26389.074241164712</v>
      </c>
      <c r="J58" s="37">
        <f t="shared" si="18"/>
        <v>26874.761517655243</v>
      </c>
      <c r="K58" s="37">
        <f t="shared" si="18"/>
        <v>27358.412937214027</v>
      </c>
      <c r="L58" s="37">
        <f t="shared" si="18"/>
        <v>27837.665392034382</v>
      </c>
      <c r="M58" s="37">
        <f t="shared" si="18"/>
        <v>28311.984181616193</v>
      </c>
      <c r="N58" s="37">
        <f t="shared" si="18"/>
        <v>28778.391225567419</v>
      </c>
      <c r="O58" s="37">
        <f t="shared" si="18"/>
        <v>29235.689924103983</v>
      </c>
      <c r="P58" s="37">
        <f t="shared" si="18"/>
        <v>29679.989712970331</v>
      </c>
      <c r="Q58" s="37">
        <f t="shared" si="18"/>
        <v>30110.512745308406</v>
      </c>
      <c r="R58" s="37">
        <f t="shared" si="18"/>
        <v>30522.487028287564</v>
      </c>
      <c r="S58" s="37">
        <f t="shared" si="18"/>
        <v>30889.491247518712</v>
      </c>
      <c r="T58" s="37">
        <f t="shared" si="18"/>
        <v>31235.769565831761</v>
      </c>
      <c r="U58" s="37">
        <f t="shared" si="18"/>
        <v>31562.714341109167</v>
      </c>
      <c r="V58" s="37">
        <f t="shared" si="18"/>
        <v>31862.423247269217</v>
      </c>
      <c r="W58" s="37">
        <f t="shared" si="18"/>
        <v>32136.380957014411</v>
      </c>
      <c r="X58" s="37">
        <f t="shared" si="18"/>
        <v>32382.421320367543</v>
      </c>
      <c r="Y58" s="37">
        <f t="shared" si="18"/>
        <v>32613.539758626906</v>
      </c>
      <c r="Z58" s="37">
        <f t="shared" si="18"/>
        <v>32817.513571349846</v>
      </c>
      <c r="AA58" s="37">
        <f t="shared" si="18"/>
        <v>32995.94496440042</v>
      </c>
      <c r="AB58" s="37">
        <f t="shared" si="18"/>
        <v>33151.430391342998</v>
      </c>
    </row>
    <row r="59" spans="1:28" x14ac:dyDescent="0.25">
      <c r="A59" s="4" t="s">
        <v>216</v>
      </c>
      <c r="B59" s="37">
        <f t="shared" ref="B59:AB59" si="19">B39*B15*$F$5</f>
        <v>23330.338968143056</v>
      </c>
      <c r="C59" s="37">
        <f t="shared" si="19"/>
        <v>23929.736611052944</v>
      </c>
      <c r="D59" s="37">
        <f t="shared" si="19"/>
        <v>24139.431751111264</v>
      </c>
      <c r="E59" s="37">
        <f t="shared" si="19"/>
        <v>24359.2625256561</v>
      </c>
      <c r="F59" s="37">
        <f t="shared" si="19"/>
        <v>24595.916401644015</v>
      </c>
      <c r="G59" s="37">
        <f t="shared" si="19"/>
        <v>24850.421774757462</v>
      </c>
      <c r="H59" s="37">
        <f t="shared" si="19"/>
        <v>25124.785536381827</v>
      </c>
      <c r="I59" s="37">
        <f t="shared" si="19"/>
        <v>25630.731989983015</v>
      </c>
      <c r="J59" s="37">
        <f t="shared" si="19"/>
        <v>26158.571004887952</v>
      </c>
      <c r="K59" s="37">
        <f t="shared" si="19"/>
        <v>26701.819133345361</v>
      </c>
      <c r="L59" s="37">
        <f t="shared" si="19"/>
        <v>27260.077921646356</v>
      </c>
      <c r="M59" s="37">
        <f t="shared" si="19"/>
        <v>27831.831413309945</v>
      </c>
      <c r="N59" s="37">
        <f t="shared" si="19"/>
        <v>28411.248619942518</v>
      </c>
      <c r="O59" s="37">
        <f t="shared" si="19"/>
        <v>28992.695516974094</v>
      </c>
      <c r="P59" s="37">
        <f t="shared" si="19"/>
        <v>29574.904272163309</v>
      </c>
      <c r="Q59" s="37">
        <f t="shared" si="19"/>
        <v>30149.682886471473</v>
      </c>
      <c r="R59" s="37">
        <f t="shared" si="19"/>
        <v>30714.615006638789</v>
      </c>
      <c r="S59" s="37">
        <f t="shared" si="19"/>
        <v>31237.20803997578</v>
      </c>
      <c r="T59" s="37">
        <f t="shared" si="19"/>
        <v>31741.161246743806</v>
      </c>
      <c r="U59" s="37">
        <f t="shared" si="19"/>
        <v>32223.281280231226</v>
      </c>
      <c r="V59" s="37">
        <f t="shared" si="19"/>
        <v>32675.943944721574</v>
      </c>
      <c r="W59" s="37">
        <f t="shared" si="19"/>
        <v>33092.133252899876</v>
      </c>
      <c r="X59" s="37">
        <f t="shared" si="19"/>
        <v>33473.101051162528</v>
      </c>
      <c r="Y59" s="37">
        <f t="shared" si="19"/>
        <v>33833.998886485089</v>
      </c>
      <c r="Z59" s="37">
        <f t="shared" si="19"/>
        <v>34159.88208426808</v>
      </c>
      <c r="AA59" s="37">
        <f t="shared" si="19"/>
        <v>34444.935119272785</v>
      </c>
      <c r="AB59" s="37">
        <f t="shared" si="19"/>
        <v>34689.138699370655</v>
      </c>
    </row>
    <row r="60" spans="1:28" x14ac:dyDescent="0.25">
      <c r="A60" s="4" t="s">
        <v>217</v>
      </c>
      <c r="B60" s="37">
        <f t="shared" ref="B60:AB60" si="20">B40*B15*$F$6</f>
        <v>35126.35035187922</v>
      </c>
      <c r="C60" s="37">
        <f t="shared" si="20"/>
        <v>36069.751855890347</v>
      </c>
      <c r="D60" s="37">
        <f t="shared" si="20"/>
        <v>36421.597428448025</v>
      </c>
      <c r="E60" s="37">
        <f t="shared" si="20"/>
        <v>36775.240990378174</v>
      </c>
      <c r="F60" s="37">
        <f t="shared" si="20"/>
        <v>37138.159332439245</v>
      </c>
      <c r="G60" s="37">
        <f t="shared" si="20"/>
        <v>37510.381346341557</v>
      </c>
      <c r="H60" s="37">
        <f t="shared" si="20"/>
        <v>37893.156964408292</v>
      </c>
      <c r="I60" s="37">
        <f t="shared" si="20"/>
        <v>38605.604059148565</v>
      </c>
      <c r="J60" s="37">
        <f t="shared" si="20"/>
        <v>39329.654796555238</v>
      </c>
      <c r="K60" s="37">
        <f t="shared" si="20"/>
        <v>40058.449988306646</v>
      </c>
      <c r="L60" s="37">
        <f t="shared" si="20"/>
        <v>40789.907452536158</v>
      </c>
      <c r="M60" s="37">
        <f t="shared" si="20"/>
        <v>41522.464758247472</v>
      </c>
      <c r="N60" s="37">
        <f t="shared" si="20"/>
        <v>42248.570911527364</v>
      </c>
      <c r="O60" s="37">
        <f t="shared" si="20"/>
        <v>42963.932850425816</v>
      </c>
      <c r="P60" s="37">
        <f t="shared" si="20"/>
        <v>43662.857567416148</v>
      </c>
      <c r="Q60" s="37">
        <f t="shared" si="20"/>
        <v>44339.239862671602</v>
      </c>
      <c r="R60" s="37">
        <f t="shared" si="20"/>
        <v>44987.097057664716</v>
      </c>
      <c r="S60" s="37">
        <f t="shared" si="20"/>
        <v>45563.153980071867</v>
      </c>
      <c r="T60" s="37">
        <f t="shared" si="20"/>
        <v>46102.827588845335</v>
      </c>
      <c r="U60" s="37">
        <f t="shared" si="20"/>
        <v>46605.521736482704</v>
      </c>
      <c r="V60" s="37">
        <f t="shared" si="20"/>
        <v>47058.218111945811</v>
      </c>
      <c r="W60" s="37">
        <f t="shared" si="20"/>
        <v>47456.628987663462</v>
      </c>
      <c r="X60" s="37">
        <f t="shared" si="20"/>
        <v>47800.968428084721</v>
      </c>
      <c r="Y60" s="37">
        <f t="shared" si="20"/>
        <v>48114.941150574588</v>
      </c>
      <c r="Z60" s="37">
        <f t="shared" si="20"/>
        <v>48376.412856428622</v>
      </c>
      <c r="AA60" s="37">
        <f t="shared" si="20"/>
        <v>48581.586770520546</v>
      </c>
      <c r="AB60" s="37">
        <f t="shared" si="20"/>
        <v>48733.783357205612</v>
      </c>
    </row>
    <row r="61" spans="1:28" x14ac:dyDescent="0.25">
      <c r="A61" s="4" t="s">
        <v>218</v>
      </c>
      <c r="B61" s="37">
        <f t="shared" ref="B61:AB61" si="21">B41*B15*$F$7</f>
        <v>11099.696244693136</v>
      </c>
      <c r="C61" s="37">
        <f t="shared" si="21"/>
        <v>11379.35214345577</v>
      </c>
      <c r="D61" s="37">
        <f t="shared" si="21"/>
        <v>11474.161149881504</v>
      </c>
      <c r="E61" s="37">
        <f t="shared" si="21"/>
        <v>11569.261488906055</v>
      </c>
      <c r="F61" s="37">
        <f t="shared" si="21"/>
        <v>11668.429730866632</v>
      </c>
      <c r="G61" s="37">
        <f t="shared" si="21"/>
        <v>11771.942181620756</v>
      </c>
      <c r="H61" s="37">
        <f t="shared" si="21"/>
        <v>11879.477932848167</v>
      </c>
      <c r="I61" s="37">
        <f t="shared" si="21"/>
        <v>12092.672714529645</v>
      </c>
      <c r="J61" s="37">
        <f t="shared" si="21"/>
        <v>12312.020025821119</v>
      </c>
      <c r="K61" s="37">
        <f t="shared" si="21"/>
        <v>12536.820442411887</v>
      </c>
      <c r="L61" s="37">
        <f t="shared" si="21"/>
        <v>12767.171979819364</v>
      </c>
      <c r="M61" s="37">
        <f t="shared" si="21"/>
        <v>13002.499209676942</v>
      </c>
      <c r="N61" s="37">
        <f t="shared" si="21"/>
        <v>13243.496932695598</v>
      </c>
      <c r="O61" s="37">
        <f t="shared" si="21"/>
        <v>13486.880789359559</v>
      </c>
      <c r="P61" s="37">
        <f t="shared" si="21"/>
        <v>13734.176521881309</v>
      </c>
      <c r="Q61" s="37">
        <f t="shared" si="21"/>
        <v>13982.634955690068</v>
      </c>
      <c r="R61" s="37">
        <f t="shared" si="21"/>
        <v>14231.932610327074</v>
      </c>
      <c r="S61" s="37">
        <f t="shared" si="21"/>
        <v>14469.738646798765</v>
      </c>
      <c r="T61" s="37">
        <f t="shared" si="21"/>
        <v>14705.350682316837</v>
      </c>
      <c r="U61" s="37">
        <f t="shared" si="21"/>
        <v>14938.942313069369</v>
      </c>
      <c r="V61" s="37">
        <f t="shared" si="21"/>
        <v>15168.70935054176</v>
      </c>
      <c r="W61" s="37">
        <f t="shared" si="21"/>
        <v>15391.742775781622</v>
      </c>
      <c r="X61" s="37">
        <f t="shared" si="21"/>
        <v>15606.878491184352</v>
      </c>
      <c r="Y61" s="37">
        <f t="shared" si="21"/>
        <v>15817.932351131276</v>
      </c>
      <c r="Z61" s="37">
        <f t="shared" si="21"/>
        <v>16020.428707766581</v>
      </c>
      <c r="AA61" s="37">
        <f t="shared" si="21"/>
        <v>16214.073442034354</v>
      </c>
      <c r="AB61" s="37">
        <f t="shared" si="21"/>
        <v>16397.01734329321</v>
      </c>
    </row>
    <row r="62" spans="1:28" x14ac:dyDescent="0.25">
      <c r="A62" s="4" t="s">
        <v>219</v>
      </c>
      <c r="B62" s="37">
        <f t="shared" ref="B62:AB62" si="22">B42*B15*$F$8</f>
        <v>668.69203738487238</v>
      </c>
      <c r="C62" s="37">
        <f t="shared" si="22"/>
        <v>691.25243174318268</v>
      </c>
      <c r="D62" s="37">
        <f t="shared" si="22"/>
        <v>703.10508942656929</v>
      </c>
      <c r="E62" s="37">
        <f t="shared" si="22"/>
        <v>715.89444162590132</v>
      </c>
      <c r="F62" s="37">
        <f t="shared" si="22"/>
        <v>729.81619392015477</v>
      </c>
      <c r="G62" s="37">
        <f t="shared" si="22"/>
        <v>744.84260602642939</v>
      </c>
      <c r="H62" s="37">
        <f t="shared" si="22"/>
        <v>761.0109944828065</v>
      </c>
      <c r="I62" s="37">
        <f t="shared" si="22"/>
        <v>784.88273146055633</v>
      </c>
      <c r="J62" s="37">
        <f t="shared" si="22"/>
        <v>809.81210820624062</v>
      </c>
      <c r="K62" s="37">
        <f t="shared" si="22"/>
        <v>835.64970369210312</v>
      </c>
      <c r="L62" s="37">
        <f t="shared" si="22"/>
        <v>862.62106643020343</v>
      </c>
      <c r="M62" s="37">
        <f t="shared" si="22"/>
        <v>890.57303411901989</v>
      </c>
      <c r="N62" s="37">
        <f t="shared" si="22"/>
        <v>919.40520287168385</v>
      </c>
      <c r="O62" s="37">
        <f t="shared" si="22"/>
        <v>948.9671341230777</v>
      </c>
      <c r="P62" s="37">
        <f t="shared" si="22"/>
        <v>979.18284249821284</v>
      </c>
      <c r="Q62" s="37">
        <f t="shared" si="22"/>
        <v>1009.8740009069984</v>
      </c>
      <c r="R62" s="37">
        <f t="shared" si="22"/>
        <v>1040.9528679272205</v>
      </c>
      <c r="S62" s="37">
        <f t="shared" si="22"/>
        <v>1071.3281172694781</v>
      </c>
      <c r="T62" s="37">
        <f t="shared" si="22"/>
        <v>1101.8913610028048</v>
      </c>
      <c r="U62" s="37">
        <f t="shared" si="22"/>
        <v>1132.4034846226937</v>
      </c>
      <c r="V62" s="37">
        <f t="shared" si="22"/>
        <v>1162.8985246887851</v>
      </c>
      <c r="W62" s="37">
        <f t="shared" si="22"/>
        <v>1193.2946197345984</v>
      </c>
      <c r="X62" s="37">
        <f t="shared" si="22"/>
        <v>1223.6879606086131</v>
      </c>
      <c r="Y62" s="37">
        <f t="shared" si="22"/>
        <v>1253.993126628111</v>
      </c>
      <c r="Z62" s="37">
        <f t="shared" si="22"/>
        <v>1284.242425261745</v>
      </c>
      <c r="AA62" s="37">
        <f t="shared" si="22"/>
        <v>1314.4153133608677</v>
      </c>
      <c r="AB62" s="37">
        <f t="shared" si="22"/>
        <v>1344.4092241192031</v>
      </c>
    </row>
    <row r="63" spans="1:28" x14ac:dyDescent="0.25">
      <c r="A63" s="4" t="s">
        <v>220</v>
      </c>
      <c r="B63" s="37">
        <f t="shared" ref="B63:AB63" si="23">B43*B15*$F$9</f>
        <v>720.24159315526936</v>
      </c>
      <c r="C63" s="37">
        <f t="shared" si="23"/>
        <v>743.49871439125866</v>
      </c>
      <c r="D63" s="37">
        <f t="shared" si="23"/>
        <v>755.34625256381617</v>
      </c>
      <c r="E63" s="37">
        <f t="shared" si="23"/>
        <v>768.49614919352507</v>
      </c>
      <c r="F63" s="37">
        <f t="shared" si="23"/>
        <v>781.66766297433128</v>
      </c>
      <c r="G63" s="37">
        <f t="shared" si="23"/>
        <v>795.97218028844406</v>
      </c>
      <c r="H63" s="37">
        <f t="shared" si="23"/>
        <v>810.67670983891924</v>
      </c>
      <c r="I63" s="37">
        <f t="shared" si="23"/>
        <v>832.58701014395569</v>
      </c>
      <c r="J63" s="37">
        <f t="shared" si="23"/>
        <v>855.06300032379329</v>
      </c>
      <c r="K63" s="37">
        <f t="shared" si="23"/>
        <v>879.0355421811563</v>
      </c>
      <c r="L63" s="37">
        <f t="shared" si="23"/>
        <v>903.67539019506262</v>
      </c>
      <c r="M63" s="37">
        <f t="shared" si="23"/>
        <v>929.26634032051959</v>
      </c>
      <c r="N63" s="37">
        <f t="shared" si="23"/>
        <v>955.40881786948285</v>
      </c>
      <c r="O63" s="37">
        <f t="shared" si="23"/>
        <v>982.1830851230618</v>
      </c>
      <c r="P63" s="37">
        <f t="shared" si="23"/>
        <v>1009.8534594251138</v>
      </c>
      <c r="Q63" s="37">
        <f t="shared" si="23"/>
        <v>1038.2958985427372</v>
      </c>
      <c r="R63" s="37">
        <f t="shared" si="23"/>
        <v>1067.3181843488558</v>
      </c>
      <c r="S63" s="37">
        <f t="shared" si="23"/>
        <v>1095.6655896767375</v>
      </c>
      <c r="T63" s="37">
        <f t="shared" si="23"/>
        <v>1124.5386683503903</v>
      </c>
      <c r="U63" s="37">
        <f t="shared" si="23"/>
        <v>1153.6450437787319</v>
      </c>
      <c r="V63" s="37">
        <f t="shared" si="23"/>
        <v>1182.6505205443807</v>
      </c>
      <c r="W63" s="37">
        <f t="shared" si="23"/>
        <v>1212.2758781826954</v>
      </c>
      <c r="X63" s="37">
        <f t="shared" si="23"/>
        <v>1241.9389804457373</v>
      </c>
      <c r="Y63" s="37">
        <f t="shared" si="23"/>
        <v>1271.9910893177921</v>
      </c>
      <c r="Z63" s="37">
        <f t="shared" si="23"/>
        <v>1301.9424422896464</v>
      </c>
      <c r="AA63" s="37">
        <f t="shared" si="23"/>
        <v>1331.9797260472972</v>
      </c>
      <c r="AB63" s="37">
        <f t="shared" si="23"/>
        <v>1362.30261727332</v>
      </c>
    </row>
    <row r="64" spans="1:28" x14ac:dyDescent="0.25">
      <c r="A64" s="4" t="s">
        <v>221</v>
      </c>
      <c r="B64" s="37">
        <f t="shared" ref="B64:AB64" si="24">B44*B15*$F$10</f>
        <v>1664.1007930362043</v>
      </c>
      <c r="C64" s="37">
        <f t="shared" si="24"/>
        <v>1739.939422272912</v>
      </c>
      <c r="D64" s="37">
        <f t="shared" si="24"/>
        <v>1788.8148679552689</v>
      </c>
      <c r="E64" s="37">
        <f t="shared" si="24"/>
        <v>1838.6201824189982</v>
      </c>
      <c r="F64" s="37">
        <f t="shared" si="24"/>
        <v>1889.3668941553256</v>
      </c>
      <c r="G64" s="37">
        <f t="shared" si="24"/>
        <v>1941.2758520005314</v>
      </c>
      <c r="H64" s="37">
        <f t="shared" si="24"/>
        <v>1994.9666787781696</v>
      </c>
      <c r="I64" s="37">
        <f t="shared" si="24"/>
        <v>2067.7373245603567</v>
      </c>
      <c r="J64" s="37">
        <f t="shared" si="24"/>
        <v>2142.7788306762227</v>
      </c>
      <c r="K64" s="37">
        <f t="shared" si="24"/>
        <v>2220.6132340656527</v>
      </c>
      <c r="L64" s="37">
        <f t="shared" si="24"/>
        <v>2301.6531722278073</v>
      </c>
      <c r="M64" s="37">
        <f t="shared" si="24"/>
        <v>2385.3717175449674</v>
      </c>
      <c r="N64" s="37">
        <f t="shared" si="24"/>
        <v>2472.4232004600153</v>
      </c>
      <c r="O64" s="37">
        <f t="shared" si="24"/>
        <v>2562.4343342399934</v>
      </c>
      <c r="P64" s="37">
        <f t="shared" si="24"/>
        <v>2655.3264203735744</v>
      </c>
      <c r="Q64" s="37">
        <f t="shared" si="24"/>
        <v>2751.2506018850854</v>
      </c>
      <c r="R64" s="37">
        <f t="shared" si="24"/>
        <v>2849.6846341056043</v>
      </c>
      <c r="S64" s="37">
        <f t="shared" si="24"/>
        <v>2948.1255993505411</v>
      </c>
      <c r="T64" s="37">
        <f t="shared" si="24"/>
        <v>3048.9209739455059</v>
      </c>
      <c r="U64" s="37">
        <f t="shared" si="24"/>
        <v>3151.8888379883419</v>
      </c>
      <c r="V64" s="37">
        <f t="shared" si="24"/>
        <v>3256.6269713561683</v>
      </c>
      <c r="W64" s="37">
        <f t="shared" si="24"/>
        <v>3362.6976011284332</v>
      </c>
      <c r="X64" s="37">
        <f t="shared" si="24"/>
        <v>3470.5162419490675</v>
      </c>
      <c r="Y64" s="37">
        <f t="shared" si="24"/>
        <v>3579.3931441014847</v>
      </c>
      <c r="Z64" s="37">
        <f t="shared" si="24"/>
        <v>3689.2805645041476</v>
      </c>
      <c r="AA64" s="37">
        <f t="shared" si="24"/>
        <v>3799.3457700414342</v>
      </c>
      <c r="AB64" s="37">
        <f t="shared" si="24"/>
        <v>3909.4713146766376</v>
      </c>
    </row>
    <row r="65" spans="1:28" x14ac:dyDescent="0.25">
      <c r="A65" s="4" t="s">
        <v>222</v>
      </c>
      <c r="B65" s="37">
        <f t="shared" ref="B65:AB65" si="25">B45*B15*$F$11</f>
        <v>49346.473505720998</v>
      </c>
      <c r="C65" s="37">
        <f t="shared" si="25"/>
        <v>50595.66245424949</v>
      </c>
      <c r="D65" s="37">
        <f t="shared" si="25"/>
        <v>51015.235899583298</v>
      </c>
      <c r="E65" s="37">
        <f t="shared" si="25"/>
        <v>51440.061232858978</v>
      </c>
      <c r="F65" s="37">
        <f t="shared" si="25"/>
        <v>51880.157451190105</v>
      </c>
      <c r="G65" s="37">
        <f t="shared" si="25"/>
        <v>52336.94209104553</v>
      </c>
      <c r="H65" s="37">
        <f t="shared" si="25"/>
        <v>52808.894802011055</v>
      </c>
      <c r="I65" s="37">
        <f t="shared" si="25"/>
        <v>53740.801754174296</v>
      </c>
      <c r="J65" s="37">
        <f t="shared" si="25"/>
        <v>54689.108179342977</v>
      </c>
      <c r="K65" s="37">
        <f t="shared" si="25"/>
        <v>55644.489446654523</v>
      </c>
      <c r="L65" s="37">
        <f t="shared" si="25"/>
        <v>56602.584083671063</v>
      </c>
      <c r="M65" s="37">
        <f t="shared" si="25"/>
        <v>57562.545553629541</v>
      </c>
      <c r="N65" s="37">
        <f t="shared" si="25"/>
        <v>58512.524043270263</v>
      </c>
      <c r="O65" s="37">
        <f t="shared" si="25"/>
        <v>59445.851107663861</v>
      </c>
      <c r="P65" s="37">
        <f t="shared" si="25"/>
        <v>60356.785698124579</v>
      </c>
      <c r="Q65" s="37">
        <f t="shared" si="25"/>
        <v>61234.808408613986</v>
      </c>
      <c r="R65" s="37">
        <f t="shared" si="25"/>
        <v>62073.105349786136</v>
      </c>
      <c r="S65" s="37">
        <f t="shared" si="25"/>
        <v>62811.422388086532</v>
      </c>
      <c r="T65" s="37">
        <f t="shared" si="25"/>
        <v>63498.046751126836</v>
      </c>
      <c r="U65" s="37">
        <f t="shared" si="25"/>
        <v>64131.531719163147</v>
      </c>
      <c r="V65" s="37">
        <f t="shared" si="25"/>
        <v>64695.233166781327</v>
      </c>
      <c r="W65" s="37">
        <f t="shared" si="25"/>
        <v>65184.242205252041</v>
      </c>
      <c r="X65" s="37">
        <f t="shared" si="25"/>
        <v>65596.270048092163</v>
      </c>
      <c r="Y65" s="37">
        <f t="shared" si="25"/>
        <v>65965.408425123227</v>
      </c>
      <c r="Z65" s="37">
        <f t="shared" si="25"/>
        <v>66260.767414168862</v>
      </c>
      <c r="AA65" s="37">
        <f t="shared" si="25"/>
        <v>66480.029248285005</v>
      </c>
      <c r="AB65" s="37">
        <f t="shared" si="25"/>
        <v>66626.531357677624</v>
      </c>
    </row>
    <row r="67" spans="1:28" x14ac:dyDescent="0.25">
      <c r="A67" s="4" t="s">
        <v>328</v>
      </c>
    </row>
    <row r="68" spans="1:28" x14ac:dyDescent="0.25">
      <c r="A68" s="4" t="s">
        <v>329</v>
      </c>
      <c r="B68" s="40">
        <f t="shared" ref="B68:AB68" si="26">B48+B49</f>
        <v>275.3367314167138</v>
      </c>
      <c r="C68" s="40">
        <f t="shared" si="26"/>
        <v>276.24318024092548</v>
      </c>
      <c r="D68" s="40">
        <f t="shared" si="26"/>
        <v>272.63469671440129</v>
      </c>
      <c r="E68" s="40">
        <f t="shared" si="26"/>
        <v>269.07969117196899</v>
      </c>
      <c r="F68" s="40">
        <f t="shared" si="26"/>
        <v>265.53114403523739</v>
      </c>
      <c r="G68" s="40">
        <f t="shared" si="26"/>
        <v>262.0224059504381</v>
      </c>
      <c r="H68" s="40">
        <f t="shared" si="26"/>
        <v>258.53849498331391</v>
      </c>
      <c r="I68" s="40">
        <f t="shared" si="26"/>
        <v>257.24593873946219</v>
      </c>
      <c r="J68" s="40">
        <f t="shared" si="26"/>
        <v>255.92053845061017</v>
      </c>
      <c r="K68" s="40">
        <f t="shared" si="26"/>
        <v>254.53141741138964</v>
      </c>
      <c r="L68" s="40">
        <f t="shared" si="26"/>
        <v>253.09930578968431</v>
      </c>
      <c r="M68" s="40">
        <f t="shared" si="26"/>
        <v>251.60288688966901</v>
      </c>
      <c r="N68" s="40">
        <f t="shared" si="26"/>
        <v>250.07390489966656</v>
      </c>
      <c r="O68" s="40">
        <f t="shared" si="26"/>
        <v>248.45427761926192</v>
      </c>
      <c r="P68" s="40">
        <f t="shared" si="26"/>
        <v>246.73275866305136</v>
      </c>
      <c r="Q68" s="40">
        <f t="shared" si="26"/>
        <v>244.96329906992582</v>
      </c>
      <c r="R68" s="40">
        <f t="shared" si="26"/>
        <v>243.10699634926596</v>
      </c>
      <c r="S68" s="40">
        <f t="shared" si="26"/>
        <v>241.00681771243853</v>
      </c>
      <c r="T68" s="40">
        <f t="shared" si="26"/>
        <v>238.88732838586009</v>
      </c>
      <c r="U68" s="40">
        <f t="shared" si="26"/>
        <v>236.77941492539878</v>
      </c>
      <c r="V68" s="40">
        <f t="shared" si="26"/>
        <v>234.71367615330837</v>
      </c>
      <c r="W68" s="40">
        <f t="shared" si="26"/>
        <v>232.68598932930627</v>
      </c>
      <c r="X68" s="40">
        <f t="shared" si="26"/>
        <v>230.77414504542111</v>
      </c>
      <c r="Y68" s="40">
        <f t="shared" si="26"/>
        <v>228.93048370940232</v>
      </c>
      <c r="Z68" s="40">
        <f t="shared" si="26"/>
        <v>227.14897028097465</v>
      </c>
      <c r="AA68" s="40">
        <f t="shared" si="26"/>
        <v>225.42965384554785</v>
      </c>
      <c r="AB68" s="40">
        <f t="shared" si="26"/>
        <v>223.80563163038235</v>
      </c>
    </row>
    <row r="69" spans="1:28" x14ac:dyDescent="0.25">
      <c r="A69" s="4" t="s">
        <v>330</v>
      </c>
      <c r="B69" s="40">
        <f t="shared" ref="B69:AB69" si="27">B50+B51+B52+B53</f>
        <v>312.34581949120229</v>
      </c>
      <c r="C69" s="40">
        <f t="shared" si="27"/>
        <v>312.67788727736831</v>
      </c>
      <c r="D69" s="40">
        <f t="shared" si="27"/>
        <v>307.92871163068571</v>
      </c>
      <c r="E69" s="40">
        <f t="shared" si="27"/>
        <v>303.20302443488885</v>
      </c>
      <c r="F69" s="40">
        <f t="shared" si="27"/>
        <v>298.48004377500473</v>
      </c>
      <c r="G69" s="40">
        <f t="shared" si="27"/>
        <v>293.82489920116103</v>
      </c>
      <c r="H69" s="40">
        <f t="shared" si="27"/>
        <v>289.1527655358467</v>
      </c>
      <c r="I69" s="40">
        <f t="shared" si="27"/>
        <v>286.97516272112154</v>
      </c>
      <c r="J69" s="40">
        <f t="shared" si="27"/>
        <v>284.76176949343363</v>
      </c>
      <c r="K69" s="40">
        <f t="shared" si="27"/>
        <v>282.48504454367992</v>
      </c>
      <c r="L69" s="40">
        <f t="shared" si="27"/>
        <v>280.21143149452206</v>
      </c>
      <c r="M69" s="40">
        <f t="shared" si="27"/>
        <v>277.9394926635926</v>
      </c>
      <c r="N69" s="40">
        <f t="shared" si="27"/>
        <v>275.63067550095917</v>
      </c>
      <c r="O69" s="40">
        <f t="shared" si="27"/>
        <v>273.28825417697908</v>
      </c>
      <c r="P69" s="40">
        <f t="shared" si="27"/>
        <v>270.8732690652439</v>
      </c>
      <c r="Q69" s="40">
        <f t="shared" si="27"/>
        <v>268.44136051234989</v>
      </c>
      <c r="R69" s="40">
        <f t="shared" si="27"/>
        <v>265.96467167737035</v>
      </c>
      <c r="S69" s="40">
        <f t="shared" si="27"/>
        <v>263.22036916414385</v>
      </c>
      <c r="T69" s="40">
        <f t="shared" si="27"/>
        <v>260.48213937152332</v>
      </c>
      <c r="U69" s="40">
        <f t="shared" si="27"/>
        <v>257.76449578858552</v>
      </c>
      <c r="V69" s="40">
        <f t="shared" si="27"/>
        <v>255.11460572645066</v>
      </c>
      <c r="W69" s="40">
        <f t="shared" si="27"/>
        <v>252.481423282234</v>
      </c>
      <c r="X69" s="40">
        <f t="shared" si="27"/>
        <v>249.98796380538519</v>
      </c>
      <c r="Y69" s="40">
        <f t="shared" si="27"/>
        <v>247.59495879269187</v>
      </c>
      <c r="Z69" s="40">
        <f t="shared" si="27"/>
        <v>245.26388021801998</v>
      </c>
      <c r="AA69" s="40">
        <f t="shared" si="27"/>
        <v>243.03119838542557</v>
      </c>
      <c r="AB69" s="40">
        <f t="shared" si="27"/>
        <v>240.86650489873992</v>
      </c>
    </row>
    <row r="70" spans="1:28" x14ac:dyDescent="0.25">
      <c r="A70" s="4" t="s">
        <v>331</v>
      </c>
      <c r="B70" s="40">
        <f t="shared" ref="B70:AB70" si="28">B54+B55</f>
        <v>269.51330690134648</v>
      </c>
      <c r="C70" s="40">
        <f t="shared" si="28"/>
        <v>269.892662929121</v>
      </c>
      <c r="D70" s="40">
        <f t="shared" si="28"/>
        <v>265.83196992019651</v>
      </c>
      <c r="E70" s="40">
        <f t="shared" si="28"/>
        <v>261.8158687691066</v>
      </c>
      <c r="F70" s="40">
        <f t="shared" si="28"/>
        <v>257.7662010539284</v>
      </c>
      <c r="G70" s="40">
        <f t="shared" si="28"/>
        <v>253.80361864845645</v>
      </c>
      <c r="H70" s="40">
        <f t="shared" si="28"/>
        <v>249.87478972679631</v>
      </c>
      <c r="I70" s="40">
        <f t="shared" si="28"/>
        <v>248.07420511153873</v>
      </c>
      <c r="J70" s="40">
        <f t="shared" si="28"/>
        <v>246.24790202744242</v>
      </c>
      <c r="K70" s="40">
        <f t="shared" si="28"/>
        <v>244.36830267919123</v>
      </c>
      <c r="L70" s="40">
        <f t="shared" si="28"/>
        <v>242.46546366667289</v>
      </c>
      <c r="M70" s="40">
        <f t="shared" si="28"/>
        <v>240.52055640917069</v>
      </c>
      <c r="N70" s="40">
        <f t="shared" si="28"/>
        <v>238.57005416391701</v>
      </c>
      <c r="O70" s="40">
        <f t="shared" si="28"/>
        <v>236.53884197869149</v>
      </c>
      <c r="P70" s="40">
        <f t="shared" si="28"/>
        <v>234.46154126620439</v>
      </c>
      <c r="Q70" s="40">
        <f t="shared" si="28"/>
        <v>232.35655858421751</v>
      </c>
      <c r="R70" s="40">
        <f t="shared" si="28"/>
        <v>230.22077095853186</v>
      </c>
      <c r="S70" s="40">
        <f t="shared" si="28"/>
        <v>227.84069901831421</v>
      </c>
      <c r="T70" s="40">
        <f t="shared" si="28"/>
        <v>225.48280543829094</v>
      </c>
      <c r="U70" s="40">
        <f t="shared" si="28"/>
        <v>223.1825559473327</v>
      </c>
      <c r="V70" s="40">
        <f t="shared" si="28"/>
        <v>220.92603265582972</v>
      </c>
      <c r="W70" s="40">
        <f t="shared" si="28"/>
        <v>218.77170553768016</v>
      </c>
      <c r="X70" s="40">
        <f t="shared" si="28"/>
        <v>216.68935180866859</v>
      </c>
      <c r="Y70" s="40">
        <f t="shared" si="28"/>
        <v>214.69395405424126</v>
      </c>
      <c r="Z70" s="40">
        <f t="shared" si="28"/>
        <v>212.77072581980283</v>
      </c>
      <c r="AA70" s="40">
        <f t="shared" si="28"/>
        <v>210.90477518719564</v>
      </c>
      <c r="AB70" s="40">
        <f t="shared" si="28"/>
        <v>209.12030534451557</v>
      </c>
    </row>
    <row r="71" spans="1:28" x14ac:dyDescent="0.25">
      <c r="A71" s="4" t="s">
        <v>332</v>
      </c>
      <c r="B71" s="40">
        <f t="shared" ref="B71:AB71" si="29">B58+B59</f>
        <v>47194.556862286554</v>
      </c>
      <c r="C71" s="40">
        <f t="shared" si="29"/>
        <v>48470.631441314705</v>
      </c>
      <c r="D71" s="40">
        <f t="shared" si="29"/>
        <v>48955.803121684745</v>
      </c>
      <c r="E71" s="40">
        <f t="shared" si="29"/>
        <v>49448.103788127584</v>
      </c>
      <c r="F71" s="40">
        <f t="shared" si="29"/>
        <v>49956.406973421501</v>
      </c>
      <c r="G71" s="40">
        <f t="shared" si="29"/>
        <v>50482.498172109925</v>
      </c>
      <c r="H71" s="40">
        <f t="shared" si="29"/>
        <v>51026.641456547572</v>
      </c>
      <c r="I71" s="40">
        <f t="shared" si="29"/>
        <v>52019.806231147726</v>
      </c>
      <c r="J71" s="40">
        <f t="shared" si="29"/>
        <v>53033.332522543191</v>
      </c>
      <c r="K71" s="40">
        <f t="shared" si="29"/>
        <v>54060.232070559388</v>
      </c>
      <c r="L71" s="40">
        <f t="shared" si="29"/>
        <v>55097.743313680738</v>
      </c>
      <c r="M71" s="40">
        <f t="shared" si="29"/>
        <v>56143.815594926142</v>
      </c>
      <c r="N71" s="40">
        <f t="shared" si="29"/>
        <v>57189.639845509941</v>
      </c>
      <c r="O71" s="40">
        <f t="shared" si="29"/>
        <v>58228.385441078077</v>
      </c>
      <c r="P71" s="40">
        <f t="shared" si="29"/>
        <v>59254.89398513364</v>
      </c>
      <c r="Q71" s="40">
        <f t="shared" si="29"/>
        <v>60260.195631779876</v>
      </c>
      <c r="R71" s="40">
        <f t="shared" si="29"/>
        <v>61237.102034926356</v>
      </c>
      <c r="S71" s="40">
        <f t="shared" si="29"/>
        <v>62126.699287494492</v>
      </c>
      <c r="T71" s="40">
        <f t="shared" si="29"/>
        <v>62976.930812575563</v>
      </c>
      <c r="U71" s="40">
        <f t="shared" si="29"/>
        <v>63785.995621340393</v>
      </c>
      <c r="V71" s="40">
        <f t="shared" si="29"/>
        <v>64538.367191990794</v>
      </c>
      <c r="W71" s="40">
        <f t="shared" si="29"/>
        <v>65228.514209914283</v>
      </c>
      <c r="X71" s="40">
        <f t="shared" si="29"/>
        <v>65855.522371530067</v>
      </c>
      <c r="Y71" s="40">
        <f t="shared" si="29"/>
        <v>66447.538645111999</v>
      </c>
      <c r="Z71" s="40">
        <f t="shared" si="29"/>
        <v>66977.395655617933</v>
      </c>
      <c r="AA71" s="40">
        <f t="shared" si="29"/>
        <v>67440.880083673197</v>
      </c>
      <c r="AB71" s="40">
        <f t="shared" si="29"/>
        <v>67840.56909071366</v>
      </c>
    </row>
    <row r="72" spans="1:28" x14ac:dyDescent="0.25">
      <c r="A72" s="4" t="s">
        <v>333</v>
      </c>
      <c r="B72" s="40">
        <f t="shared" ref="B72:AB72" si="30">B60+B61+B62+B63</f>
        <v>47614.980227112494</v>
      </c>
      <c r="C72" s="40">
        <f t="shared" si="30"/>
        <v>48883.855145480557</v>
      </c>
      <c r="D72" s="40">
        <f t="shared" si="30"/>
        <v>49354.209920319918</v>
      </c>
      <c r="E72" s="40">
        <f t="shared" si="30"/>
        <v>49828.893070103659</v>
      </c>
      <c r="F72" s="40">
        <f t="shared" si="30"/>
        <v>50318.072920200357</v>
      </c>
      <c r="G72" s="40">
        <f t="shared" si="30"/>
        <v>50823.138314277188</v>
      </c>
      <c r="H72" s="40">
        <f t="shared" si="30"/>
        <v>51344.322601578184</v>
      </c>
      <c r="I72" s="40">
        <f t="shared" si="30"/>
        <v>52315.746515282728</v>
      </c>
      <c r="J72" s="40">
        <f t="shared" si="30"/>
        <v>53306.549930906396</v>
      </c>
      <c r="K72" s="40">
        <f t="shared" si="30"/>
        <v>54309.955676591795</v>
      </c>
      <c r="L72" s="40">
        <f t="shared" si="30"/>
        <v>55323.375888980794</v>
      </c>
      <c r="M72" s="40">
        <f t="shared" si="30"/>
        <v>56344.803342363957</v>
      </c>
      <c r="N72" s="40">
        <f t="shared" si="30"/>
        <v>57366.881864964125</v>
      </c>
      <c r="O72" s="40">
        <f t="shared" si="30"/>
        <v>58381.963859031515</v>
      </c>
      <c r="P72" s="40">
        <f t="shared" si="30"/>
        <v>59386.070391220783</v>
      </c>
      <c r="Q72" s="40">
        <f t="shared" si="30"/>
        <v>60370.044717811405</v>
      </c>
      <c r="R72" s="40">
        <f t="shared" si="30"/>
        <v>61327.300720267864</v>
      </c>
      <c r="S72" s="40">
        <f t="shared" si="30"/>
        <v>62199.886333816852</v>
      </c>
      <c r="T72" s="40">
        <f t="shared" si="30"/>
        <v>63034.608300515363</v>
      </c>
      <c r="U72" s="40">
        <f t="shared" si="30"/>
        <v>63830.512577953501</v>
      </c>
      <c r="V72" s="40">
        <f t="shared" si="30"/>
        <v>64572.476507720734</v>
      </c>
      <c r="W72" s="40">
        <f t="shared" si="30"/>
        <v>65253.942261362376</v>
      </c>
      <c r="X72" s="40">
        <f t="shared" si="30"/>
        <v>65873.473860323429</v>
      </c>
      <c r="Y72" s="40">
        <f t="shared" si="30"/>
        <v>66458.857717651772</v>
      </c>
      <c r="Z72" s="40">
        <f t="shared" si="30"/>
        <v>66983.026431746592</v>
      </c>
      <c r="AA72" s="40">
        <f t="shared" si="30"/>
        <v>67442.055251963058</v>
      </c>
      <c r="AB72" s="40">
        <f t="shared" si="30"/>
        <v>67837.512541891338</v>
      </c>
    </row>
    <row r="73" spans="1:28" x14ac:dyDescent="0.25">
      <c r="A73" s="4" t="s">
        <v>334</v>
      </c>
      <c r="B73" s="40">
        <f t="shared" ref="B73:AB73" si="31">B64+B65</f>
        <v>51010.574298757201</v>
      </c>
      <c r="C73" s="40">
        <f t="shared" si="31"/>
        <v>52335.6018765224</v>
      </c>
      <c r="D73" s="40">
        <f t="shared" si="31"/>
        <v>52804.050767538567</v>
      </c>
      <c r="E73" s="40">
        <f t="shared" si="31"/>
        <v>53278.681415277977</v>
      </c>
      <c r="F73" s="40">
        <f t="shared" si="31"/>
        <v>53769.524345345431</v>
      </c>
      <c r="G73" s="40">
        <f t="shared" si="31"/>
        <v>54278.21794304606</v>
      </c>
      <c r="H73" s="40">
        <f t="shared" si="31"/>
        <v>54803.861480789223</v>
      </c>
      <c r="I73" s="40">
        <f t="shared" si="31"/>
        <v>55808.539078734655</v>
      </c>
      <c r="J73" s="40">
        <f t="shared" si="31"/>
        <v>56831.8870100192</v>
      </c>
      <c r="K73" s="40">
        <f t="shared" si="31"/>
        <v>57865.102680720178</v>
      </c>
      <c r="L73" s="40">
        <f t="shared" si="31"/>
        <v>58904.237255898872</v>
      </c>
      <c r="M73" s="40">
        <f t="shared" si="31"/>
        <v>59947.917271174505</v>
      </c>
      <c r="N73" s="40">
        <f t="shared" si="31"/>
        <v>60984.947243730276</v>
      </c>
      <c r="O73" s="40">
        <f t="shared" si="31"/>
        <v>62008.285441903856</v>
      </c>
      <c r="P73" s="40">
        <f t="shared" si="31"/>
        <v>63012.112118498153</v>
      </c>
      <c r="Q73" s="40">
        <f t="shared" si="31"/>
        <v>63986.05901049907</v>
      </c>
      <c r="R73" s="40">
        <f t="shared" si="31"/>
        <v>64922.789983891736</v>
      </c>
      <c r="S73" s="40">
        <f t="shared" si="31"/>
        <v>65759.547987437079</v>
      </c>
      <c r="T73" s="40">
        <f t="shared" si="31"/>
        <v>66546.967725072347</v>
      </c>
      <c r="U73" s="40">
        <f t="shared" si="31"/>
        <v>67283.42055715149</v>
      </c>
      <c r="V73" s="40">
        <f t="shared" si="31"/>
        <v>67951.86013813749</v>
      </c>
      <c r="W73" s="40">
        <f t="shared" si="31"/>
        <v>68546.939806380469</v>
      </c>
      <c r="X73" s="40">
        <f t="shared" si="31"/>
        <v>69066.786290041229</v>
      </c>
      <c r="Y73" s="40">
        <f t="shared" si="31"/>
        <v>69544.801569224714</v>
      </c>
      <c r="Z73" s="40">
        <f t="shared" si="31"/>
        <v>69950.047978673014</v>
      </c>
      <c r="AA73" s="40">
        <f t="shared" si="31"/>
        <v>70279.375018326435</v>
      </c>
      <c r="AB73" s="40">
        <f t="shared" si="31"/>
        <v>70536.002672354269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150.49282039443105</v>
      </c>
      <c r="C2" s="37">
        <f>BDbDT_calcs!C48</f>
        <v>150.84487658587466</v>
      </c>
      <c r="D2" s="37">
        <f>BDbDT_calcs!D48</f>
        <v>148.72373298471885</v>
      </c>
      <c r="E2" s="37">
        <f>BDbDT_calcs!E48</f>
        <v>146.642741305328</v>
      </c>
      <c r="F2" s="37">
        <f>BDbDT_calcs!F48</f>
        <v>144.57059410699463</v>
      </c>
      <c r="G2" s="37">
        <f>BDbDT_calcs!G48</f>
        <v>142.50746168723677</v>
      </c>
      <c r="H2" s="37">
        <f>BDbDT_calcs!H48</f>
        <v>140.45423201257105</v>
      </c>
      <c r="I2" s="37">
        <f>BDbDT_calcs!I48</f>
        <v>139.65788484893147</v>
      </c>
      <c r="J2" s="37">
        <f>BDbDT_calcs!J48</f>
        <v>138.76609873293967</v>
      </c>
      <c r="K2" s="37">
        <f>BDbDT_calcs!K48</f>
        <v>137.89944620684111</v>
      </c>
      <c r="L2" s="37">
        <f>BDbDT_calcs!L48</f>
        <v>136.94738416912261</v>
      </c>
      <c r="M2" s="37">
        <f>BDbDT_calcs!M48</f>
        <v>136.02039227605093</v>
      </c>
      <c r="N2" s="37">
        <f>BDbDT_calcs!N48</f>
        <v>135.13452743195052</v>
      </c>
      <c r="O2" s="37">
        <f>BDbDT_calcs!O48</f>
        <v>134.06601635250638</v>
      </c>
      <c r="P2" s="37">
        <f>BDbDT_calcs!P48</f>
        <v>133.0535023519972</v>
      </c>
      <c r="Q2" s="37">
        <f>BDbDT_calcs!Q48</f>
        <v>131.95186473020331</v>
      </c>
      <c r="R2" s="37">
        <f>BDbDT_calcs!R48</f>
        <v>130.84020437358498</v>
      </c>
      <c r="S2" s="37">
        <f>BDbDT_calcs!S48</f>
        <v>129.57401746732236</v>
      </c>
      <c r="T2" s="37">
        <f>BDbDT_calcs!T48</f>
        <v>128.31479835368802</v>
      </c>
      <c r="U2" s="37">
        <f>BDbDT_calcs!U48</f>
        <v>127.06100197321133</v>
      </c>
      <c r="V2" s="37">
        <f>BDbDT_calcs!V48</f>
        <v>125.81069429215985</v>
      </c>
      <c r="W2" s="37">
        <f>BDbDT_calcs!W48</f>
        <v>124.57823921727417</v>
      </c>
      <c r="X2" s="37">
        <f>BDbDT_calcs!X48</f>
        <v>123.47733086864274</v>
      </c>
      <c r="Y2" s="37">
        <f>BDbDT_calcs!Y48</f>
        <v>122.37542509319351</v>
      </c>
      <c r="Z2" s="37">
        <f>BDbDT_calcs!Z48</f>
        <v>121.35384465097448</v>
      </c>
      <c r="AA2" s="37">
        <f>BDbDT_calcs!AA48</f>
        <v>120.34489535678466</v>
      </c>
      <c r="AB2" s="37">
        <f>BDbDT_calcs!AB48</f>
        <v>119.33025575904323</v>
      </c>
    </row>
    <row r="3" spans="1:28" x14ac:dyDescent="0.25">
      <c r="A3" s="4" t="s">
        <v>216</v>
      </c>
      <c r="B3" s="37">
        <f>BDbDT_calcs!B49</f>
        <v>124.84391102228274</v>
      </c>
      <c r="C3" s="37">
        <f>BDbDT_calcs!C49</f>
        <v>125.39830365505081</v>
      </c>
      <c r="D3" s="37">
        <f>BDbDT_calcs!D49</f>
        <v>123.91096372968242</v>
      </c>
      <c r="E3" s="37">
        <f>BDbDT_calcs!E49</f>
        <v>122.43694986664099</v>
      </c>
      <c r="F3" s="37">
        <f>BDbDT_calcs!F49</f>
        <v>120.96054992824278</v>
      </c>
      <c r="G3" s="37">
        <f>BDbDT_calcs!G49</f>
        <v>119.51494426320131</v>
      </c>
      <c r="H3" s="37">
        <f>BDbDT_calcs!H49</f>
        <v>118.08426297074284</v>
      </c>
      <c r="I3" s="37">
        <f>BDbDT_calcs!I49</f>
        <v>117.58805389053069</v>
      </c>
      <c r="J3" s="37">
        <f>BDbDT_calcs!J49</f>
        <v>117.1544397176705</v>
      </c>
      <c r="K3" s="37">
        <f>BDbDT_calcs!K49</f>
        <v>116.63197120454853</v>
      </c>
      <c r="L3" s="37">
        <f>BDbDT_calcs!L49</f>
        <v>116.15192162056169</v>
      </c>
      <c r="M3" s="37">
        <f>BDbDT_calcs!M49</f>
        <v>115.58249461361808</v>
      </c>
      <c r="N3" s="37">
        <f>BDbDT_calcs!N49</f>
        <v>114.93937746771603</v>
      </c>
      <c r="O3" s="37">
        <f>BDbDT_calcs!O49</f>
        <v>114.38826126675553</v>
      </c>
      <c r="P3" s="37">
        <f>BDbDT_calcs!P49</f>
        <v>113.67925631105416</v>
      </c>
      <c r="Q3" s="37">
        <f>BDbDT_calcs!Q49</f>
        <v>113.0114343397225</v>
      </c>
      <c r="R3" s="37">
        <f>BDbDT_calcs!R49</f>
        <v>112.26679197568096</v>
      </c>
      <c r="S3" s="37">
        <f>BDbDT_calcs!S49</f>
        <v>111.43280024511616</v>
      </c>
      <c r="T3" s="37">
        <f>BDbDT_calcs!T49</f>
        <v>110.57253003217208</v>
      </c>
      <c r="U3" s="37">
        <f>BDbDT_calcs!U49</f>
        <v>109.71841295218746</v>
      </c>
      <c r="V3" s="37">
        <f>BDbDT_calcs!V49</f>
        <v>108.9029818611485</v>
      </c>
      <c r="W3" s="37">
        <f>BDbDT_calcs!W49</f>
        <v>108.10775011203208</v>
      </c>
      <c r="X3" s="37">
        <f>BDbDT_calcs!X49</f>
        <v>107.29681417677837</v>
      </c>
      <c r="Y3" s="37">
        <f>BDbDT_calcs!Y49</f>
        <v>106.5550586162088</v>
      </c>
      <c r="Z3" s="37">
        <f>BDbDT_calcs!Z49</f>
        <v>105.79512563000019</v>
      </c>
      <c r="AA3" s="37">
        <f>BDbDT_calcs!AA49</f>
        <v>105.08475848876319</v>
      </c>
      <c r="AB3" s="37">
        <f>BDbDT_calcs!AB49</f>
        <v>104.47537587133912</v>
      </c>
    </row>
    <row r="4" spans="1:28" x14ac:dyDescent="0.25">
      <c r="A4" s="4" t="s">
        <v>217</v>
      </c>
      <c r="B4" s="37">
        <f>BDbDT_calcs!B50</f>
        <v>147.71550016032094</v>
      </c>
      <c r="C4" s="37">
        <f>BDbDT_calcs!C50</f>
        <v>148.20289588015174</v>
      </c>
      <c r="D4" s="37">
        <f>BDbDT_calcs!D50</f>
        <v>146.29170566643967</v>
      </c>
      <c r="E4" s="37">
        <f>BDbDT_calcs!E50</f>
        <v>144.38791166459484</v>
      </c>
      <c r="F4" s="37">
        <f>BDbDT_calcs!F50</f>
        <v>142.50738951453175</v>
      </c>
      <c r="G4" s="37">
        <f>BDbDT_calcs!G50</f>
        <v>140.66485265905379</v>
      </c>
      <c r="H4" s="37">
        <f>BDbDT_calcs!H50</f>
        <v>138.80202016746924</v>
      </c>
      <c r="I4" s="37">
        <f>BDbDT_calcs!I50</f>
        <v>138.14892072568293</v>
      </c>
      <c r="J4" s="37">
        <f>BDbDT_calcs!J50</f>
        <v>137.43743076866926</v>
      </c>
      <c r="K4" s="37">
        <f>BDbDT_calcs!K50</f>
        <v>136.67698692312624</v>
      </c>
      <c r="L4" s="37">
        <f>BDbDT_calcs!L50</f>
        <v>135.85247964846437</v>
      </c>
      <c r="M4" s="37">
        <f>BDbDT_calcs!M50</f>
        <v>134.96335601088083</v>
      </c>
      <c r="N4" s="37">
        <f>BDbDT_calcs!N50</f>
        <v>134.00886783605719</v>
      </c>
      <c r="O4" s="37">
        <f>BDbDT_calcs!O50</f>
        <v>132.94321490730016</v>
      </c>
      <c r="P4" s="37">
        <f>BDbDT_calcs!P50</f>
        <v>131.82506512370932</v>
      </c>
      <c r="Q4" s="37">
        <f>BDbDT_calcs!Q50</f>
        <v>130.63807633081763</v>
      </c>
      <c r="R4" s="37">
        <f>BDbDT_calcs!R50</f>
        <v>129.38063665143815</v>
      </c>
      <c r="S4" s="37">
        <f>BDbDT_calcs!S50</f>
        <v>127.97181730676408</v>
      </c>
      <c r="T4" s="37">
        <f>BDbDT_calcs!T50</f>
        <v>126.5688761472681</v>
      </c>
      <c r="U4" s="37">
        <f>BDbDT_calcs!U50</f>
        <v>125.1702249369701</v>
      </c>
      <c r="V4" s="37">
        <f>BDbDT_calcs!V50</f>
        <v>123.78926148478898</v>
      </c>
      <c r="W4" s="37">
        <f>BDbDT_calcs!W50</f>
        <v>122.4548730308311</v>
      </c>
      <c r="X4" s="37">
        <f>BDbDT_calcs!X50</f>
        <v>121.1809419194006</v>
      </c>
      <c r="Y4" s="37">
        <f>BDbDT_calcs!Y50</f>
        <v>119.93567668382916</v>
      </c>
      <c r="Z4" s="37">
        <f>BDbDT_calcs!Z50</f>
        <v>118.73314289093096</v>
      </c>
      <c r="AA4" s="37">
        <f>BDbDT_calcs!AA50</f>
        <v>117.60333787538748</v>
      </c>
      <c r="AB4" s="37">
        <f>BDbDT_calcs!AB50</f>
        <v>116.51400058356981</v>
      </c>
    </row>
    <row r="5" spans="1:28" x14ac:dyDescent="0.25">
      <c r="A5" s="4" t="s">
        <v>218</v>
      </c>
      <c r="B5" s="37">
        <f>BDbDT_calcs!B51</f>
        <v>143.57077019740558</v>
      </c>
      <c r="C5" s="37">
        <f>BDbDT_calcs!C51</f>
        <v>143.04780491950419</v>
      </c>
      <c r="D5" s="37">
        <f>BDbDT_calcs!D51</f>
        <v>140.22250060502489</v>
      </c>
      <c r="E5" s="37">
        <f>BDbDT_calcs!E51</f>
        <v>137.38427244823538</v>
      </c>
      <c r="F5" s="37">
        <f>BDbDT_calcs!F51</f>
        <v>134.53418183710565</v>
      </c>
      <c r="G5" s="37">
        <f>BDbDT_calcs!G51</f>
        <v>131.73294041962555</v>
      </c>
      <c r="H5" s="37">
        <f>BDbDT_calcs!H51</f>
        <v>128.89017437654775</v>
      </c>
      <c r="I5" s="37">
        <f>BDbDT_calcs!I51</f>
        <v>127.19071937459057</v>
      </c>
      <c r="J5" s="37">
        <f>BDbDT_calcs!J51</f>
        <v>125.49930681883511</v>
      </c>
      <c r="K5" s="37">
        <f>BDbDT_calcs!K51</f>
        <v>123.81116683144913</v>
      </c>
      <c r="L5" s="37">
        <f>BDbDT_calcs!L51</f>
        <v>122.18698971720912</v>
      </c>
      <c r="M5" s="37">
        <f>BDbDT_calcs!M51</f>
        <v>120.65762807633018</v>
      </c>
      <c r="N5" s="37">
        <f>BDbDT_calcs!N51</f>
        <v>119.13181465870801</v>
      </c>
      <c r="O5" s="37">
        <f>BDbDT_calcs!O51</f>
        <v>117.70136368876186</v>
      </c>
      <c r="P5" s="37">
        <f>BDbDT_calcs!P51</f>
        <v>116.2742935389912</v>
      </c>
      <c r="Q5" s="37">
        <f>BDbDT_calcs!Q51</f>
        <v>114.91178010827663</v>
      </c>
      <c r="R5" s="37">
        <f>BDbDT_calcs!R51</f>
        <v>113.58263892464173</v>
      </c>
      <c r="S5" s="37">
        <f>BDbDT_calcs!S51</f>
        <v>112.15909759618712</v>
      </c>
      <c r="T5" s="37">
        <f>BDbDT_calcs!T51</f>
        <v>110.77076710132114</v>
      </c>
      <c r="U5" s="37">
        <f>BDbDT_calcs!U51</f>
        <v>109.38513442056993</v>
      </c>
      <c r="V5" s="37">
        <f>BDbDT_calcs!V51</f>
        <v>108.06335739101294</v>
      </c>
      <c r="W5" s="37">
        <f>BDbDT_calcs!W51</f>
        <v>106.70946403746947</v>
      </c>
      <c r="X5" s="37">
        <f>BDbDT_calcs!X51</f>
        <v>105.416332317276</v>
      </c>
      <c r="Y5" s="37">
        <f>BDbDT_calcs!Y51</f>
        <v>104.21519435902884</v>
      </c>
      <c r="Z5" s="37">
        <f>BDbDT_calcs!Z51</f>
        <v>103.00965881550228</v>
      </c>
      <c r="AA5" s="37">
        <f>BDbDT_calcs!AA51</f>
        <v>101.86221447068706</v>
      </c>
      <c r="AB5" s="37">
        <f>BDbDT_calcs!AB51</f>
        <v>100.70771218654633</v>
      </c>
    </row>
    <row r="6" spans="1:28" x14ac:dyDescent="0.25">
      <c r="A6" s="4" t="s">
        <v>219</v>
      </c>
      <c r="B6" s="37">
        <f>BDbDT_calcs!B52</f>
        <v>4.7249049608001039</v>
      </c>
      <c r="C6" s="37">
        <f>BDbDT_calcs!C52</f>
        <v>4.7885866248625728</v>
      </c>
      <c r="D6" s="37">
        <f>BDbDT_calcs!D52</f>
        <v>4.7744491026867246</v>
      </c>
      <c r="E6" s="37">
        <f>BDbDT_calcs!E52</f>
        <v>4.7663911654563114</v>
      </c>
      <c r="F6" s="37">
        <f>BDbDT_calcs!F52</f>
        <v>4.7589141330084317</v>
      </c>
      <c r="G6" s="37">
        <f>BDbDT_calcs!G52</f>
        <v>4.7520370071509657</v>
      </c>
      <c r="H6" s="37">
        <f>BDbDT_calcs!H52</f>
        <v>4.7458045816411696</v>
      </c>
      <c r="I6" s="37">
        <f>BDbDT_calcs!I52</f>
        <v>4.780251050923952</v>
      </c>
      <c r="J6" s="37">
        <f>BDbDT_calcs!J52</f>
        <v>4.8155489229007742</v>
      </c>
      <c r="K6" s="37">
        <f>BDbDT_calcs!K52</f>
        <v>4.8623995135628153</v>
      </c>
      <c r="L6" s="37">
        <f>BDbDT_calcs!L52</f>
        <v>4.8991861024666274</v>
      </c>
      <c r="M6" s="37">
        <f>BDbDT_calcs!M52</f>
        <v>4.9367483316553029</v>
      </c>
      <c r="N6" s="37">
        <f>BDbDT_calcs!N52</f>
        <v>4.9751126857936514</v>
      </c>
      <c r="O6" s="37">
        <f>BDbDT_calcs!O52</f>
        <v>5.0143065939820124</v>
      </c>
      <c r="P6" s="37">
        <f>BDbDT_calcs!P52</f>
        <v>5.0488400500327213</v>
      </c>
      <c r="Q6" s="37">
        <f>BDbDT_calcs!Q52</f>
        <v>5.0897282300110032</v>
      </c>
      <c r="R6" s="37">
        <f>BDbDT_calcs!R52</f>
        <v>5.1203780655514448</v>
      </c>
      <c r="S6" s="37">
        <f>BDbDT_calcs!S52</f>
        <v>5.152972817475078</v>
      </c>
      <c r="T6" s="37">
        <f>BDbDT_calcs!T52</f>
        <v>5.1919592739554563</v>
      </c>
      <c r="U6" s="37">
        <f>BDbDT_calcs!U52</f>
        <v>5.2205423439123715</v>
      </c>
      <c r="V6" s="37">
        <f>BDbDT_calcs!V52</f>
        <v>5.2554408797524825</v>
      </c>
      <c r="W6" s="37">
        <f>BDbDT_calcs!W52</f>
        <v>5.2910083979638785</v>
      </c>
      <c r="X6" s="37">
        <f>BDbDT_calcs!X52</f>
        <v>5.3215158806408169</v>
      </c>
      <c r="Y6" s="37">
        <f>BDbDT_calcs!Y52</f>
        <v>5.36392819647509</v>
      </c>
      <c r="Z6" s="37">
        <f>BDbDT_calcs!Z52</f>
        <v>5.395472797757308</v>
      </c>
      <c r="AA6" s="37">
        <f>BDbDT_calcs!AA52</f>
        <v>5.4274185255956819</v>
      </c>
      <c r="AB6" s="37">
        <f>BDbDT_calcs!AB52</f>
        <v>5.4596992249752825</v>
      </c>
    </row>
    <row r="7" spans="1:28" x14ac:dyDescent="0.25">
      <c r="A7" s="4" t="s">
        <v>220</v>
      </c>
      <c r="B7" s="37">
        <f>BDbDT_calcs!B53</f>
        <v>16.334644172675645</v>
      </c>
      <c r="C7" s="37">
        <f>BDbDT_calcs!C53</f>
        <v>16.63859985284985</v>
      </c>
      <c r="D7" s="37">
        <f>BDbDT_calcs!D53</f>
        <v>16.640056256534443</v>
      </c>
      <c r="E7" s="37">
        <f>BDbDT_calcs!E53</f>
        <v>16.664449156602313</v>
      </c>
      <c r="F7" s="37">
        <f>BDbDT_calcs!F53</f>
        <v>16.67955829035888</v>
      </c>
      <c r="G7" s="37">
        <f>BDbDT_calcs!G53</f>
        <v>16.675069115330722</v>
      </c>
      <c r="H7" s="37">
        <f>BDbDT_calcs!H53</f>
        <v>16.714766410188577</v>
      </c>
      <c r="I7" s="37">
        <f>BDbDT_calcs!I53</f>
        <v>16.855271569924088</v>
      </c>
      <c r="J7" s="37">
        <f>BDbDT_calcs!J53</f>
        <v>17.009482983028498</v>
      </c>
      <c r="K7" s="37">
        <f>BDbDT_calcs!K53</f>
        <v>17.134491275541713</v>
      </c>
      <c r="L7" s="37">
        <f>BDbDT_calcs!L53</f>
        <v>17.272776026381941</v>
      </c>
      <c r="M7" s="37">
        <f>BDbDT_calcs!M53</f>
        <v>17.381760244726326</v>
      </c>
      <c r="N7" s="37">
        <f>BDbDT_calcs!N53</f>
        <v>17.514880320400302</v>
      </c>
      <c r="O7" s="37">
        <f>BDbDT_calcs!O53</f>
        <v>17.62936898693507</v>
      </c>
      <c r="P7" s="37">
        <f>BDbDT_calcs!P53</f>
        <v>17.725070352510667</v>
      </c>
      <c r="Q7" s="37">
        <f>BDbDT_calcs!Q53</f>
        <v>17.801775843244648</v>
      </c>
      <c r="R7" s="37">
        <f>BDbDT_calcs!R53</f>
        <v>17.881018035739061</v>
      </c>
      <c r="S7" s="37">
        <f>BDbDT_calcs!S53</f>
        <v>17.936481443717565</v>
      </c>
      <c r="T7" s="37">
        <f>BDbDT_calcs!T53</f>
        <v>17.950536848978601</v>
      </c>
      <c r="U7" s="37">
        <f>BDbDT_calcs!U53</f>
        <v>17.988594087133102</v>
      </c>
      <c r="V7" s="37">
        <f>BDbDT_calcs!V53</f>
        <v>18.006545970896269</v>
      </c>
      <c r="W7" s="37">
        <f>BDbDT_calcs!W53</f>
        <v>18.026077815969568</v>
      </c>
      <c r="X7" s="37">
        <f>BDbDT_calcs!X53</f>
        <v>18.069173688067796</v>
      </c>
      <c r="Y7" s="37">
        <f>BDbDT_calcs!Y53</f>
        <v>18.080159553358772</v>
      </c>
      <c r="Z7" s="37">
        <f>BDbDT_calcs!Z53</f>
        <v>18.125605713829422</v>
      </c>
      <c r="AA7" s="37">
        <f>BDbDT_calcs!AA53</f>
        <v>18.138227513755339</v>
      </c>
      <c r="AB7" s="37">
        <f>BDbDT_calcs!AB53</f>
        <v>18.185092903648492</v>
      </c>
    </row>
    <row r="8" spans="1:28" x14ac:dyDescent="0.25">
      <c r="A8" s="4" t="s">
        <v>221</v>
      </c>
      <c r="B8" s="37">
        <f>BDbDT_calcs!B54</f>
        <v>25.558043688480389</v>
      </c>
      <c r="C8" s="37">
        <f>BDbDT_calcs!C54</f>
        <v>25.920096835979521</v>
      </c>
      <c r="D8" s="37">
        <f>BDbDT_calcs!D54</f>
        <v>25.874338321543977</v>
      </c>
      <c r="E8" s="37">
        <f>BDbDT_calcs!E54</f>
        <v>25.838116272238231</v>
      </c>
      <c r="F8" s="37">
        <f>BDbDT_calcs!F54</f>
        <v>25.824735016569878</v>
      </c>
      <c r="G8" s="37">
        <f>BDbDT_calcs!G54</f>
        <v>25.78805986874659</v>
      </c>
      <c r="H8" s="37">
        <f>BDbDT_calcs!H54</f>
        <v>25.748358811883367</v>
      </c>
      <c r="I8" s="37">
        <f>BDbDT_calcs!I54</f>
        <v>25.922844901623549</v>
      </c>
      <c r="J8" s="37">
        <f>BDbDT_calcs!J54</f>
        <v>26.088772646683683</v>
      </c>
      <c r="K8" s="37">
        <f>BDbDT_calcs!K54</f>
        <v>26.245260127702849</v>
      </c>
      <c r="L8" s="37">
        <f>BDbDT_calcs!L54</f>
        <v>26.385759858995716</v>
      </c>
      <c r="M8" s="37">
        <f>BDbDT_calcs!M54</f>
        <v>26.510230076005037</v>
      </c>
      <c r="N8" s="37">
        <f>BDbDT_calcs!N54</f>
        <v>26.618591770463748</v>
      </c>
      <c r="O8" s="37">
        <f>BDbDT_calcs!O54</f>
        <v>26.710753807666119</v>
      </c>
      <c r="P8" s="37">
        <f>BDbDT_calcs!P54</f>
        <v>26.766527598408707</v>
      </c>
      <c r="Q8" s="37">
        <f>BDbDT_calcs!Q54</f>
        <v>26.805605442882154</v>
      </c>
      <c r="R8" s="37">
        <f>BDbDT_calcs!R54</f>
        <v>26.807521328335724</v>
      </c>
      <c r="S8" s="37">
        <f>BDbDT_calcs!S54</f>
        <v>26.78935169737851</v>
      </c>
      <c r="T8" s="37">
        <f>BDbDT_calcs!T54</f>
        <v>26.747060788676503</v>
      </c>
      <c r="U8" s="37">
        <f>BDbDT_calcs!U54</f>
        <v>26.68015298849841</v>
      </c>
      <c r="V8" s="37">
        <f>BDbDT_calcs!V54</f>
        <v>26.61531460931154</v>
      </c>
      <c r="W8" s="37">
        <f>BDbDT_calcs!W54</f>
        <v>26.517936854004592</v>
      </c>
      <c r="X8" s="37">
        <f>BDbDT_calcs!X54</f>
        <v>26.45598129973094</v>
      </c>
      <c r="Y8" s="37">
        <f>BDbDT_calcs!Y54</f>
        <v>26.388190077966062</v>
      </c>
      <c r="Z8" s="37">
        <f>BDbDT_calcs!Z54</f>
        <v>26.321048564371143</v>
      </c>
      <c r="AA8" s="37">
        <f>BDbDT_calcs!AA54</f>
        <v>26.26114156188272</v>
      </c>
      <c r="AB8" s="37">
        <f>BDbDT_calcs!AB54</f>
        <v>26.215168683664547</v>
      </c>
    </row>
    <row r="9" spans="1:28" x14ac:dyDescent="0.25">
      <c r="A9" s="4" t="s">
        <v>222</v>
      </c>
      <c r="B9" s="37">
        <f>BDbDT_calcs!B55</f>
        <v>243.95526321286607</v>
      </c>
      <c r="C9" s="37">
        <f>BDbDT_calcs!C55</f>
        <v>243.9725660931415</v>
      </c>
      <c r="D9" s="37">
        <f>BDbDT_calcs!D55</f>
        <v>239.95763159865254</v>
      </c>
      <c r="E9" s="37">
        <f>BDbDT_calcs!E55</f>
        <v>235.97775249686839</v>
      </c>
      <c r="F9" s="37">
        <f>BDbDT_calcs!F55</f>
        <v>231.94146603735851</v>
      </c>
      <c r="G9" s="37">
        <f>BDbDT_calcs!G55</f>
        <v>228.01555877970986</v>
      </c>
      <c r="H9" s="37">
        <f>BDbDT_calcs!H55</f>
        <v>224.12643091491293</v>
      </c>
      <c r="I9" s="37">
        <f>BDbDT_calcs!I55</f>
        <v>222.1513602099152</v>
      </c>
      <c r="J9" s="37">
        <f>BDbDT_calcs!J55</f>
        <v>220.15912938075874</v>
      </c>
      <c r="K9" s="37">
        <f>BDbDT_calcs!K55</f>
        <v>218.1230425514884</v>
      </c>
      <c r="L9" s="37">
        <f>BDbDT_calcs!L55</f>
        <v>216.07970380767716</v>
      </c>
      <c r="M9" s="37">
        <f>BDbDT_calcs!M55</f>
        <v>214.01032633316566</v>
      </c>
      <c r="N9" s="37">
        <f>BDbDT_calcs!N55</f>
        <v>211.95146239345326</v>
      </c>
      <c r="O9" s="37">
        <f>BDbDT_calcs!O55</f>
        <v>209.82808817102537</v>
      </c>
      <c r="P9" s="37">
        <f>BDbDT_calcs!P55</f>
        <v>207.69501366779568</v>
      </c>
      <c r="Q9" s="37">
        <f>BDbDT_calcs!Q55</f>
        <v>205.55095314133536</v>
      </c>
      <c r="R9" s="37">
        <f>BDbDT_calcs!R55</f>
        <v>203.41324963019613</v>
      </c>
      <c r="S9" s="37">
        <f>BDbDT_calcs!S55</f>
        <v>201.05134732093569</v>
      </c>
      <c r="T9" s="37">
        <f>BDbDT_calcs!T55</f>
        <v>198.73574464961445</v>
      </c>
      <c r="U9" s="37">
        <f>BDbDT_calcs!U55</f>
        <v>196.5024029588343</v>
      </c>
      <c r="V9" s="37">
        <f>BDbDT_calcs!V55</f>
        <v>194.31071804651819</v>
      </c>
      <c r="W9" s="37">
        <f>BDbDT_calcs!W55</f>
        <v>192.25376868367556</v>
      </c>
      <c r="X9" s="37">
        <f>BDbDT_calcs!X55</f>
        <v>190.23337050893764</v>
      </c>
      <c r="Y9" s="37">
        <f>BDbDT_calcs!Y55</f>
        <v>188.30576397627519</v>
      </c>
      <c r="Z9" s="37">
        <f>BDbDT_calcs!Z55</f>
        <v>186.44967725543168</v>
      </c>
      <c r="AA9" s="37">
        <f>BDbDT_calcs!AA55</f>
        <v>184.64363362531293</v>
      </c>
      <c r="AB9" s="37">
        <f>BDbDT_calcs!AB55</f>
        <v>182.90513666085101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23864.217894143498</v>
      </c>
      <c r="C2" s="37">
        <f>BDbDT_calcs!C58</f>
        <v>24540.894830261761</v>
      </c>
      <c r="D2" s="37">
        <f>BDbDT_calcs!D58</f>
        <v>24816.371370573481</v>
      </c>
      <c r="E2" s="37">
        <f>BDbDT_calcs!E58</f>
        <v>25088.841262471487</v>
      </c>
      <c r="F2" s="37">
        <f>BDbDT_calcs!F58</f>
        <v>25360.490571777485</v>
      </c>
      <c r="G2" s="37">
        <f>BDbDT_calcs!G58</f>
        <v>25632.076397352463</v>
      </c>
      <c r="H2" s="37">
        <f>BDbDT_calcs!H58</f>
        <v>25901.855920165748</v>
      </c>
      <c r="I2" s="37">
        <f>BDbDT_calcs!I58</f>
        <v>26389.074241164712</v>
      </c>
      <c r="J2" s="37">
        <f>BDbDT_calcs!J58</f>
        <v>26874.761517655243</v>
      </c>
      <c r="K2" s="37">
        <f>BDbDT_calcs!K58</f>
        <v>27358.412937214027</v>
      </c>
      <c r="L2" s="37">
        <f>BDbDT_calcs!L58</f>
        <v>27837.665392034382</v>
      </c>
      <c r="M2" s="37">
        <f>BDbDT_calcs!M58</f>
        <v>28311.984181616193</v>
      </c>
      <c r="N2" s="37">
        <f>BDbDT_calcs!N58</f>
        <v>28778.391225567419</v>
      </c>
      <c r="O2" s="37">
        <f>BDbDT_calcs!O58</f>
        <v>29235.689924103983</v>
      </c>
      <c r="P2" s="37">
        <f>BDbDT_calcs!P58</f>
        <v>29679.989712970331</v>
      </c>
      <c r="Q2" s="37">
        <f>BDbDT_calcs!Q58</f>
        <v>30110.512745308406</v>
      </c>
      <c r="R2" s="37">
        <f>BDbDT_calcs!R58</f>
        <v>30522.487028287564</v>
      </c>
      <c r="S2" s="37">
        <f>BDbDT_calcs!S58</f>
        <v>30889.491247518712</v>
      </c>
      <c r="T2" s="37">
        <f>BDbDT_calcs!T58</f>
        <v>31235.769565831761</v>
      </c>
      <c r="U2" s="37">
        <f>BDbDT_calcs!U58</f>
        <v>31562.714341109167</v>
      </c>
      <c r="V2" s="37">
        <f>BDbDT_calcs!V58</f>
        <v>31862.423247269217</v>
      </c>
      <c r="W2" s="37">
        <f>BDbDT_calcs!W58</f>
        <v>32136.380957014411</v>
      </c>
      <c r="X2" s="37">
        <f>BDbDT_calcs!X58</f>
        <v>32382.421320367543</v>
      </c>
      <c r="Y2" s="37">
        <f>BDbDT_calcs!Y58</f>
        <v>32613.539758626906</v>
      </c>
      <c r="Z2" s="37">
        <f>BDbDT_calcs!Z58</f>
        <v>32817.513571349846</v>
      </c>
      <c r="AA2" s="37">
        <f>BDbDT_calcs!AA58</f>
        <v>32995.94496440042</v>
      </c>
      <c r="AB2" s="37">
        <f>BDbDT_calcs!AB58</f>
        <v>33151.430391342998</v>
      </c>
    </row>
    <row r="3" spans="1:28" x14ac:dyDescent="0.25">
      <c r="A3" s="4" t="s">
        <v>216</v>
      </c>
      <c r="B3" s="37">
        <f>BDbDT_calcs!B59</f>
        <v>23330.338968143056</v>
      </c>
      <c r="C3" s="37">
        <f>BDbDT_calcs!C59</f>
        <v>23929.736611052944</v>
      </c>
      <c r="D3" s="37">
        <f>BDbDT_calcs!D59</f>
        <v>24139.431751111264</v>
      </c>
      <c r="E3" s="37">
        <f>BDbDT_calcs!E59</f>
        <v>24359.2625256561</v>
      </c>
      <c r="F3" s="37">
        <f>BDbDT_calcs!F59</f>
        <v>24595.916401644015</v>
      </c>
      <c r="G3" s="37">
        <f>BDbDT_calcs!G59</f>
        <v>24850.421774757462</v>
      </c>
      <c r="H3" s="37">
        <f>BDbDT_calcs!H59</f>
        <v>25124.785536381827</v>
      </c>
      <c r="I3" s="37">
        <f>BDbDT_calcs!I59</f>
        <v>25630.731989983015</v>
      </c>
      <c r="J3" s="37">
        <f>BDbDT_calcs!J59</f>
        <v>26158.571004887952</v>
      </c>
      <c r="K3" s="37">
        <f>BDbDT_calcs!K59</f>
        <v>26701.819133345361</v>
      </c>
      <c r="L3" s="37">
        <f>BDbDT_calcs!L59</f>
        <v>27260.077921646356</v>
      </c>
      <c r="M3" s="37">
        <f>BDbDT_calcs!M59</f>
        <v>27831.831413309945</v>
      </c>
      <c r="N3" s="37">
        <f>BDbDT_calcs!N59</f>
        <v>28411.248619942518</v>
      </c>
      <c r="O3" s="37">
        <f>BDbDT_calcs!O59</f>
        <v>28992.695516974094</v>
      </c>
      <c r="P3" s="37">
        <f>BDbDT_calcs!P59</f>
        <v>29574.904272163309</v>
      </c>
      <c r="Q3" s="37">
        <f>BDbDT_calcs!Q59</f>
        <v>30149.682886471473</v>
      </c>
      <c r="R3" s="37">
        <f>BDbDT_calcs!R59</f>
        <v>30714.615006638789</v>
      </c>
      <c r="S3" s="37">
        <f>BDbDT_calcs!S59</f>
        <v>31237.20803997578</v>
      </c>
      <c r="T3" s="37">
        <f>BDbDT_calcs!T59</f>
        <v>31741.161246743806</v>
      </c>
      <c r="U3" s="37">
        <f>BDbDT_calcs!U59</f>
        <v>32223.281280231226</v>
      </c>
      <c r="V3" s="37">
        <f>BDbDT_calcs!V59</f>
        <v>32675.943944721574</v>
      </c>
      <c r="W3" s="37">
        <f>BDbDT_calcs!W59</f>
        <v>33092.133252899876</v>
      </c>
      <c r="X3" s="37">
        <f>BDbDT_calcs!X59</f>
        <v>33473.101051162528</v>
      </c>
      <c r="Y3" s="37">
        <f>BDbDT_calcs!Y59</f>
        <v>33833.998886485089</v>
      </c>
      <c r="Z3" s="37">
        <f>BDbDT_calcs!Z59</f>
        <v>34159.88208426808</v>
      </c>
      <c r="AA3" s="37">
        <f>BDbDT_calcs!AA59</f>
        <v>34444.935119272785</v>
      </c>
      <c r="AB3" s="37">
        <f>BDbDT_calcs!AB59</f>
        <v>34689.138699370655</v>
      </c>
    </row>
    <row r="4" spans="1:28" x14ac:dyDescent="0.25">
      <c r="A4" s="4" t="s">
        <v>217</v>
      </c>
      <c r="B4" s="37">
        <f>BDbDT_calcs!B60</f>
        <v>35126.35035187922</v>
      </c>
      <c r="C4" s="37">
        <f>BDbDT_calcs!C60</f>
        <v>36069.751855890347</v>
      </c>
      <c r="D4" s="37">
        <f>BDbDT_calcs!D60</f>
        <v>36421.597428448025</v>
      </c>
      <c r="E4" s="37">
        <f>BDbDT_calcs!E60</f>
        <v>36775.240990378174</v>
      </c>
      <c r="F4" s="37">
        <f>BDbDT_calcs!F60</f>
        <v>37138.159332439245</v>
      </c>
      <c r="G4" s="37">
        <f>BDbDT_calcs!G60</f>
        <v>37510.381346341557</v>
      </c>
      <c r="H4" s="37">
        <f>BDbDT_calcs!H60</f>
        <v>37893.156964408292</v>
      </c>
      <c r="I4" s="37">
        <f>BDbDT_calcs!I60</f>
        <v>38605.604059148565</v>
      </c>
      <c r="J4" s="37">
        <f>BDbDT_calcs!J60</f>
        <v>39329.654796555238</v>
      </c>
      <c r="K4" s="37">
        <f>BDbDT_calcs!K60</f>
        <v>40058.449988306646</v>
      </c>
      <c r="L4" s="37">
        <f>BDbDT_calcs!L60</f>
        <v>40789.907452536158</v>
      </c>
      <c r="M4" s="37">
        <f>BDbDT_calcs!M60</f>
        <v>41522.464758247472</v>
      </c>
      <c r="N4" s="37">
        <f>BDbDT_calcs!N60</f>
        <v>42248.570911527364</v>
      </c>
      <c r="O4" s="37">
        <f>BDbDT_calcs!O60</f>
        <v>42963.932850425816</v>
      </c>
      <c r="P4" s="37">
        <f>BDbDT_calcs!P60</f>
        <v>43662.857567416148</v>
      </c>
      <c r="Q4" s="37">
        <f>BDbDT_calcs!Q60</f>
        <v>44339.239862671602</v>
      </c>
      <c r="R4" s="37">
        <f>BDbDT_calcs!R60</f>
        <v>44987.097057664716</v>
      </c>
      <c r="S4" s="37">
        <f>BDbDT_calcs!S60</f>
        <v>45563.153980071867</v>
      </c>
      <c r="T4" s="37">
        <f>BDbDT_calcs!T60</f>
        <v>46102.827588845335</v>
      </c>
      <c r="U4" s="37">
        <f>BDbDT_calcs!U60</f>
        <v>46605.521736482704</v>
      </c>
      <c r="V4" s="37">
        <f>BDbDT_calcs!V60</f>
        <v>47058.218111945811</v>
      </c>
      <c r="W4" s="37">
        <f>BDbDT_calcs!W60</f>
        <v>47456.628987663462</v>
      </c>
      <c r="X4" s="37">
        <f>BDbDT_calcs!X60</f>
        <v>47800.968428084721</v>
      </c>
      <c r="Y4" s="37">
        <f>BDbDT_calcs!Y60</f>
        <v>48114.941150574588</v>
      </c>
      <c r="Z4" s="37">
        <f>BDbDT_calcs!Z60</f>
        <v>48376.412856428622</v>
      </c>
      <c r="AA4" s="37">
        <f>BDbDT_calcs!AA60</f>
        <v>48581.586770520546</v>
      </c>
      <c r="AB4" s="37">
        <f>BDbDT_calcs!AB60</f>
        <v>48733.783357205612</v>
      </c>
    </row>
    <row r="5" spans="1:28" x14ac:dyDescent="0.25">
      <c r="A5" s="4" t="s">
        <v>218</v>
      </c>
      <c r="B5" s="37">
        <f>BDbDT_calcs!B61</f>
        <v>11099.696244693136</v>
      </c>
      <c r="C5" s="37">
        <f>BDbDT_calcs!C61</f>
        <v>11379.35214345577</v>
      </c>
      <c r="D5" s="37">
        <f>BDbDT_calcs!D61</f>
        <v>11474.161149881504</v>
      </c>
      <c r="E5" s="37">
        <f>BDbDT_calcs!E61</f>
        <v>11569.261488906055</v>
      </c>
      <c r="F5" s="37">
        <f>BDbDT_calcs!F61</f>
        <v>11668.429730866632</v>
      </c>
      <c r="G5" s="37">
        <f>BDbDT_calcs!G61</f>
        <v>11771.942181620756</v>
      </c>
      <c r="H5" s="37">
        <f>BDbDT_calcs!H61</f>
        <v>11879.477932848167</v>
      </c>
      <c r="I5" s="37">
        <f>BDbDT_calcs!I61</f>
        <v>12092.672714529645</v>
      </c>
      <c r="J5" s="37">
        <f>BDbDT_calcs!J61</f>
        <v>12312.020025821119</v>
      </c>
      <c r="K5" s="37">
        <f>BDbDT_calcs!K61</f>
        <v>12536.820442411887</v>
      </c>
      <c r="L5" s="37">
        <f>BDbDT_calcs!L61</f>
        <v>12767.171979819364</v>
      </c>
      <c r="M5" s="37">
        <f>BDbDT_calcs!M61</f>
        <v>13002.499209676942</v>
      </c>
      <c r="N5" s="37">
        <f>BDbDT_calcs!N61</f>
        <v>13243.496932695598</v>
      </c>
      <c r="O5" s="37">
        <f>BDbDT_calcs!O61</f>
        <v>13486.880789359559</v>
      </c>
      <c r="P5" s="37">
        <f>BDbDT_calcs!P61</f>
        <v>13734.176521881309</v>
      </c>
      <c r="Q5" s="37">
        <f>BDbDT_calcs!Q61</f>
        <v>13982.634955690068</v>
      </c>
      <c r="R5" s="37">
        <f>BDbDT_calcs!R61</f>
        <v>14231.932610327074</v>
      </c>
      <c r="S5" s="37">
        <f>BDbDT_calcs!S61</f>
        <v>14469.738646798765</v>
      </c>
      <c r="T5" s="37">
        <f>BDbDT_calcs!T61</f>
        <v>14705.350682316837</v>
      </c>
      <c r="U5" s="37">
        <f>BDbDT_calcs!U61</f>
        <v>14938.942313069369</v>
      </c>
      <c r="V5" s="37">
        <f>BDbDT_calcs!V61</f>
        <v>15168.70935054176</v>
      </c>
      <c r="W5" s="37">
        <f>BDbDT_calcs!W61</f>
        <v>15391.742775781622</v>
      </c>
      <c r="X5" s="37">
        <f>BDbDT_calcs!X61</f>
        <v>15606.878491184352</v>
      </c>
      <c r="Y5" s="37">
        <f>BDbDT_calcs!Y61</f>
        <v>15817.932351131276</v>
      </c>
      <c r="Z5" s="37">
        <f>BDbDT_calcs!Z61</f>
        <v>16020.428707766581</v>
      </c>
      <c r="AA5" s="37">
        <f>BDbDT_calcs!AA61</f>
        <v>16214.073442034354</v>
      </c>
      <c r="AB5" s="37">
        <f>BDbDT_calcs!AB61</f>
        <v>16397.01734329321</v>
      </c>
    </row>
    <row r="6" spans="1:28" x14ac:dyDescent="0.25">
      <c r="A6" s="4" t="s">
        <v>219</v>
      </c>
      <c r="B6" s="37">
        <f>BDbDT_calcs!B62</f>
        <v>668.69203738487238</v>
      </c>
      <c r="C6" s="37">
        <f>BDbDT_calcs!C62</f>
        <v>691.25243174318268</v>
      </c>
      <c r="D6" s="37">
        <f>BDbDT_calcs!D62</f>
        <v>703.10508942656929</v>
      </c>
      <c r="E6" s="37">
        <f>BDbDT_calcs!E62</f>
        <v>715.89444162590132</v>
      </c>
      <c r="F6" s="37">
        <f>BDbDT_calcs!F62</f>
        <v>729.81619392015477</v>
      </c>
      <c r="G6" s="37">
        <f>BDbDT_calcs!G62</f>
        <v>744.84260602642939</v>
      </c>
      <c r="H6" s="37">
        <f>BDbDT_calcs!H62</f>
        <v>761.0109944828065</v>
      </c>
      <c r="I6" s="37">
        <f>BDbDT_calcs!I62</f>
        <v>784.88273146055633</v>
      </c>
      <c r="J6" s="37">
        <f>BDbDT_calcs!J62</f>
        <v>809.81210820624062</v>
      </c>
      <c r="K6" s="37">
        <f>BDbDT_calcs!K62</f>
        <v>835.64970369210312</v>
      </c>
      <c r="L6" s="37">
        <f>BDbDT_calcs!L62</f>
        <v>862.62106643020343</v>
      </c>
      <c r="M6" s="37">
        <f>BDbDT_calcs!M62</f>
        <v>890.57303411901989</v>
      </c>
      <c r="N6" s="37">
        <f>BDbDT_calcs!N62</f>
        <v>919.40520287168385</v>
      </c>
      <c r="O6" s="37">
        <f>BDbDT_calcs!O62</f>
        <v>948.9671341230777</v>
      </c>
      <c r="P6" s="37">
        <f>BDbDT_calcs!P62</f>
        <v>979.18284249821284</v>
      </c>
      <c r="Q6" s="37">
        <f>BDbDT_calcs!Q62</f>
        <v>1009.8740009069984</v>
      </c>
      <c r="R6" s="37">
        <f>BDbDT_calcs!R62</f>
        <v>1040.9528679272205</v>
      </c>
      <c r="S6" s="37">
        <f>BDbDT_calcs!S62</f>
        <v>1071.3281172694781</v>
      </c>
      <c r="T6" s="37">
        <f>BDbDT_calcs!T62</f>
        <v>1101.8913610028048</v>
      </c>
      <c r="U6" s="37">
        <f>BDbDT_calcs!U62</f>
        <v>1132.4034846226937</v>
      </c>
      <c r="V6" s="37">
        <f>BDbDT_calcs!V62</f>
        <v>1162.8985246887851</v>
      </c>
      <c r="W6" s="37">
        <f>BDbDT_calcs!W62</f>
        <v>1193.2946197345984</v>
      </c>
      <c r="X6" s="37">
        <f>BDbDT_calcs!X62</f>
        <v>1223.6879606086131</v>
      </c>
      <c r="Y6" s="37">
        <f>BDbDT_calcs!Y62</f>
        <v>1253.993126628111</v>
      </c>
      <c r="Z6" s="37">
        <f>BDbDT_calcs!Z62</f>
        <v>1284.242425261745</v>
      </c>
      <c r="AA6" s="37">
        <f>BDbDT_calcs!AA62</f>
        <v>1314.4153133608677</v>
      </c>
      <c r="AB6" s="37">
        <f>BDbDT_calcs!AB62</f>
        <v>1344.4092241192031</v>
      </c>
    </row>
    <row r="7" spans="1:28" x14ac:dyDescent="0.25">
      <c r="A7" s="4" t="s">
        <v>220</v>
      </c>
      <c r="B7" s="37">
        <f>BDbDT_calcs!B63</f>
        <v>720.24159315526936</v>
      </c>
      <c r="C7" s="37">
        <f>BDbDT_calcs!C63</f>
        <v>743.49871439125866</v>
      </c>
      <c r="D7" s="37">
        <f>BDbDT_calcs!D63</f>
        <v>755.34625256381617</v>
      </c>
      <c r="E7" s="37">
        <f>BDbDT_calcs!E63</f>
        <v>768.49614919352507</v>
      </c>
      <c r="F7" s="37">
        <f>BDbDT_calcs!F63</f>
        <v>781.66766297433128</v>
      </c>
      <c r="G7" s="37">
        <f>BDbDT_calcs!G63</f>
        <v>795.97218028844406</v>
      </c>
      <c r="H7" s="37">
        <f>BDbDT_calcs!H63</f>
        <v>810.67670983891924</v>
      </c>
      <c r="I7" s="37">
        <f>BDbDT_calcs!I63</f>
        <v>832.58701014395569</v>
      </c>
      <c r="J7" s="37">
        <f>BDbDT_calcs!J63</f>
        <v>855.06300032379329</v>
      </c>
      <c r="K7" s="37">
        <f>BDbDT_calcs!K63</f>
        <v>879.0355421811563</v>
      </c>
      <c r="L7" s="37">
        <f>BDbDT_calcs!L63</f>
        <v>903.67539019506262</v>
      </c>
      <c r="M7" s="37">
        <f>BDbDT_calcs!M63</f>
        <v>929.26634032051959</v>
      </c>
      <c r="N7" s="37">
        <f>BDbDT_calcs!N63</f>
        <v>955.40881786948285</v>
      </c>
      <c r="O7" s="37">
        <f>BDbDT_calcs!O63</f>
        <v>982.1830851230618</v>
      </c>
      <c r="P7" s="37">
        <f>BDbDT_calcs!P63</f>
        <v>1009.8534594251138</v>
      </c>
      <c r="Q7" s="37">
        <f>BDbDT_calcs!Q63</f>
        <v>1038.2958985427372</v>
      </c>
      <c r="R7" s="37">
        <f>BDbDT_calcs!R63</f>
        <v>1067.3181843488558</v>
      </c>
      <c r="S7" s="37">
        <f>BDbDT_calcs!S63</f>
        <v>1095.6655896767375</v>
      </c>
      <c r="T7" s="37">
        <f>BDbDT_calcs!T63</f>
        <v>1124.5386683503903</v>
      </c>
      <c r="U7" s="37">
        <f>BDbDT_calcs!U63</f>
        <v>1153.6450437787319</v>
      </c>
      <c r="V7" s="37">
        <f>BDbDT_calcs!V63</f>
        <v>1182.6505205443807</v>
      </c>
      <c r="W7" s="37">
        <f>BDbDT_calcs!W63</f>
        <v>1212.2758781826954</v>
      </c>
      <c r="X7" s="37">
        <f>BDbDT_calcs!X63</f>
        <v>1241.9389804457373</v>
      </c>
      <c r="Y7" s="37">
        <f>BDbDT_calcs!Y63</f>
        <v>1271.9910893177921</v>
      </c>
      <c r="Z7" s="37">
        <f>BDbDT_calcs!Z63</f>
        <v>1301.9424422896464</v>
      </c>
      <c r="AA7" s="37">
        <f>BDbDT_calcs!AA63</f>
        <v>1331.9797260472972</v>
      </c>
      <c r="AB7" s="37">
        <f>BDbDT_calcs!AB63</f>
        <v>1362.30261727332</v>
      </c>
    </row>
    <row r="8" spans="1:28" x14ac:dyDescent="0.25">
      <c r="A8" s="4" t="s">
        <v>221</v>
      </c>
      <c r="B8" s="37">
        <f>BDbDT_calcs!B64</f>
        <v>1664.1007930362043</v>
      </c>
      <c r="C8" s="37">
        <f>BDbDT_calcs!C64</f>
        <v>1739.939422272912</v>
      </c>
      <c r="D8" s="37">
        <f>BDbDT_calcs!D64</f>
        <v>1788.8148679552689</v>
      </c>
      <c r="E8" s="37">
        <f>BDbDT_calcs!E64</f>
        <v>1838.6201824189982</v>
      </c>
      <c r="F8" s="37">
        <f>BDbDT_calcs!F64</f>
        <v>1889.3668941553256</v>
      </c>
      <c r="G8" s="37">
        <f>BDbDT_calcs!G64</f>
        <v>1941.2758520005314</v>
      </c>
      <c r="H8" s="37">
        <f>BDbDT_calcs!H64</f>
        <v>1994.9666787781696</v>
      </c>
      <c r="I8" s="37">
        <f>BDbDT_calcs!I64</f>
        <v>2067.7373245603567</v>
      </c>
      <c r="J8" s="37">
        <f>BDbDT_calcs!J64</f>
        <v>2142.7788306762227</v>
      </c>
      <c r="K8" s="37">
        <f>BDbDT_calcs!K64</f>
        <v>2220.6132340656527</v>
      </c>
      <c r="L8" s="37">
        <f>BDbDT_calcs!L64</f>
        <v>2301.6531722278073</v>
      </c>
      <c r="M8" s="37">
        <f>BDbDT_calcs!M64</f>
        <v>2385.3717175449674</v>
      </c>
      <c r="N8" s="37">
        <f>BDbDT_calcs!N64</f>
        <v>2472.4232004600153</v>
      </c>
      <c r="O8" s="37">
        <f>BDbDT_calcs!O64</f>
        <v>2562.4343342399934</v>
      </c>
      <c r="P8" s="37">
        <f>BDbDT_calcs!P64</f>
        <v>2655.3264203735744</v>
      </c>
      <c r="Q8" s="37">
        <f>BDbDT_calcs!Q64</f>
        <v>2751.2506018850854</v>
      </c>
      <c r="R8" s="37">
        <f>BDbDT_calcs!R64</f>
        <v>2849.6846341056043</v>
      </c>
      <c r="S8" s="37">
        <f>BDbDT_calcs!S64</f>
        <v>2948.1255993505411</v>
      </c>
      <c r="T8" s="37">
        <f>BDbDT_calcs!T64</f>
        <v>3048.9209739455059</v>
      </c>
      <c r="U8" s="37">
        <f>BDbDT_calcs!U64</f>
        <v>3151.8888379883419</v>
      </c>
      <c r="V8" s="37">
        <f>BDbDT_calcs!V64</f>
        <v>3256.6269713561683</v>
      </c>
      <c r="W8" s="37">
        <f>BDbDT_calcs!W64</f>
        <v>3362.6976011284332</v>
      </c>
      <c r="X8" s="37">
        <f>BDbDT_calcs!X64</f>
        <v>3470.5162419490675</v>
      </c>
      <c r="Y8" s="37">
        <f>BDbDT_calcs!Y64</f>
        <v>3579.3931441014847</v>
      </c>
      <c r="Z8" s="37">
        <f>BDbDT_calcs!Z64</f>
        <v>3689.2805645041476</v>
      </c>
      <c r="AA8" s="37">
        <f>BDbDT_calcs!AA64</f>
        <v>3799.3457700414342</v>
      </c>
      <c r="AB8" s="37">
        <f>BDbDT_calcs!AB64</f>
        <v>3909.4713146766376</v>
      </c>
    </row>
    <row r="9" spans="1:28" x14ac:dyDescent="0.25">
      <c r="A9" s="4" t="s">
        <v>222</v>
      </c>
      <c r="B9" s="37">
        <f>BDbDT_calcs!B65</f>
        <v>49346.473505720998</v>
      </c>
      <c r="C9" s="37">
        <f>BDbDT_calcs!C65</f>
        <v>50595.66245424949</v>
      </c>
      <c r="D9" s="37">
        <f>BDbDT_calcs!D65</f>
        <v>51015.235899583298</v>
      </c>
      <c r="E9" s="37">
        <f>BDbDT_calcs!E65</f>
        <v>51440.061232858978</v>
      </c>
      <c r="F9" s="37">
        <f>BDbDT_calcs!F65</f>
        <v>51880.157451190105</v>
      </c>
      <c r="G9" s="37">
        <f>BDbDT_calcs!G65</f>
        <v>52336.94209104553</v>
      </c>
      <c r="H9" s="37">
        <f>BDbDT_calcs!H65</f>
        <v>52808.894802011055</v>
      </c>
      <c r="I9" s="37">
        <f>BDbDT_calcs!I65</f>
        <v>53740.801754174296</v>
      </c>
      <c r="J9" s="37">
        <f>BDbDT_calcs!J65</f>
        <v>54689.108179342977</v>
      </c>
      <c r="K9" s="37">
        <f>BDbDT_calcs!K65</f>
        <v>55644.489446654523</v>
      </c>
      <c r="L9" s="37">
        <f>BDbDT_calcs!L65</f>
        <v>56602.584083671063</v>
      </c>
      <c r="M9" s="37">
        <f>BDbDT_calcs!M65</f>
        <v>57562.545553629541</v>
      </c>
      <c r="N9" s="37">
        <f>BDbDT_calcs!N65</f>
        <v>58512.524043270263</v>
      </c>
      <c r="O9" s="37">
        <f>BDbDT_calcs!O65</f>
        <v>59445.851107663861</v>
      </c>
      <c r="P9" s="37">
        <f>BDbDT_calcs!P65</f>
        <v>60356.785698124579</v>
      </c>
      <c r="Q9" s="37">
        <f>BDbDT_calcs!Q65</f>
        <v>61234.808408613986</v>
      </c>
      <c r="R9" s="37">
        <f>BDbDT_calcs!R65</f>
        <v>62073.105349786136</v>
      </c>
      <c r="S9" s="37">
        <f>BDbDT_calcs!S65</f>
        <v>62811.422388086532</v>
      </c>
      <c r="T9" s="37">
        <f>BDbDT_calcs!T65</f>
        <v>63498.046751126836</v>
      </c>
      <c r="U9" s="37">
        <f>BDbDT_calcs!U65</f>
        <v>64131.531719163147</v>
      </c>
      <c r="V9" s="37">
        <f>BDbDT_calcs!V65</f>
        <v>64695.233166781327</v>
      </c>
      <c r="W9" s="37">
        <f>BDbDT_calcs!W65</f>
        <v>65184.242205252041</v>
      </c>
      <c r="X9" s="37">
        <f>BDbDT_calcs!X65</f>
        <v>65596.270048092163</v>
      </c>
      <c r="Y9" s="37">
        <f>BDbDT_calcs!Y65</f>
        <v>65965.408425123227</v>
      </c>
      <c r="Z9" s="37">
        <f>BDbDT_calcs!Z65</f>
        <v>66260.767414168862</v>
      </c>
      <c r="AA9" s="37">
        <f>BDbDT_calcs!AA65</f>
        <v>66480.029248285005</v>
      </c>
      <c r="AB9" s="37">
        <f>BDbDT_calcs!AB65</f>
        <v>66626.531357677624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2026-08-17T20:29:34Z</dcterms:modified>
</cp:coreProperties>
</file>