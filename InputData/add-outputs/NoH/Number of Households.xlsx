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SC\add-outputs\NoH\"/>
    </mc:Choice>
  </mc:AlternateContent>
  <xr:revisionPtr revIDLastSave="0" documentId="8_{FDBADA7A-5534-4729-9A56-9593D5FD7215}"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B2" i="3"/>
  <c r="AC2" i="3"/>
  <c r="AD2" i="3"/>
  <c r="I2" i="3"/>
  <c r="AE2" i="3"/>
  <c r="B2" i="3"/>
  <c r="K2" i="3"/>
  <c r="L2" i="3"/>
  <c r="P2" i="3"/>
  <c r="X2" i="3"/>
  <c r="D2" i="3"/>
  <c r="Z2" i="3"/>
  <c r="M2" i="3"/>
  <c r="W2" i="3"/>
  <c r="E2" i="3"/>
  <c r="AA2" i="3"/>
  <c r="J2" i="3"/>
  <c r="Q2" i="3"/>
  <c r="S2" i="3"/>
  <c r="U2" i="3"/>
  <c r="F2" i="3"/>
  <c r="V2" i="3"/>
  <c r="G2" i="3"/>
  <c r="H2" i="3"/>
  <c r="R2" i="3"/>
  <c r="N2" i="3"/>
  <c r="O2" i="3"/>
  <c r="T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<sst xmlns="http://schemas.openxmlformats.org/spreadsheetml/2006/main" count="1069" uniqueCount="448">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</sst>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404</v>
      </c>
      <c r="C1" s="68">
        <v>46185</v>
      </c>
      <c r="H1" t="s">
        <v>324</v>
      </c>
      <c r="I1" t="s">
        <v>325</v>
      </c>
    </row>
    <row r="2" spans="1:9" x14ac:dyDescent="0.25">
      <c r="B2" t="str">
        <f>VLOOKUP(B1,H2:I52,2)</f>
        <v>SC</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2085151.9843120053</v>
      </c>
      <c r="C2">
        <f>SUMIFS('state calcs'!C62:C112,'state calcs'!$A$62:$A$112,About!$B$2)</f>
        <v>2122468.411777732</v>
      </c>
      <c r="D2">
        <f>SUMIFS('state calcs'!D62:D112,'state calcs'!$A$62:$A$112,About!$B$2)</f>
        <v>2147303.4697403223</v>
      </c>
      <c r="E2">
        <f>SUMIFS('state calcs'!E62:E112,'state calcs'!$A$62:$A$112,About!$B$2)</f>
        <v>2172212.0571426968</v>
      </c>
      <c r="F2">
        <f>SUMIFS('state calcs'!F62:F112,'state calcs'!$A$62:$A$112,About!$B$2)</f>
        <v>2197612.5443223375</v>
      </c>
      <c r="G2">
        <f>SUMIFS('state calcs'!G62:G112,'state calcs'!$A$62:$A$112,About!$B$2)</f>
        <v>2222994.3242898355</v>
      </c>
      <c r="H2">
        <f>SUMIFS('state calcs'!H62:H112,'state calcs'!$A$62:$A$112,About!$B$2)</f>
        <v>2248515.6498192633</v>
      </c>
      <c r="I2">
        <f>SUMIFS('state calcs'!I62:I112,'state calcs'!$A$62:$A$112,About!$B$2)</f>
        <v>2274218.0893270168</v>
      </c>
      <c r="J2">
        <f>SUMIFS('state calcs'!J62:J112,'state calcs'!$A$62:$A$112,About!$B$2)</f>
        <v>2299798.230375058</v>
      </c>
      <c r="K2">
        <f>SUMIFS('state calcs'!K62:K112,'state calcs'!$A$62:$A$112,About!$B$2)</f>
        <v>2324884.7848465573</v>
      </c>
      <c r="L2">
        <f>SUMIFS('state calcs'!L62:L112,'state calcs'!$A$62:$A$112,About!$B$2)</f>
        <v>2351595.57634264</v>
      </c>
      <c r="M2">
        <f>SUMIFS('state calcs'!M62:M112,'state calcs'!$A$62:$A$112,About!$B$2)</f>
        <v>2378226.2687795293</v>
      </c>
      <c r="N2">
        <f>SUMIFS('state calcs'!N62:N112,'state calcs'!$A$62:$A$112,About!$B$2)</f>
        <v>2404490.1171565293</v>
      </c>
      <c r="O2">
        <f>SUMIFS('state calcs'!O62:O112,'state calcs'!$A$62:$A$112,About!$B$2)</f>
        <v>2430206.3225304694</v>
      </c>
      <c r="P2">
        <f>SUMIFS('state calcs'!P62:P112,'state calcs'!$A$62:$A$112,About!$B$2)</f>
        <v>2455720.8835646538</v>
      </c>
      <c r="Q2">
        <f>SUMIFS('state calcs'!Q62:Q112,'state calcs'!$A$62:$A$112,About!$B$2)</f>
        <v>2481317.2222604514</v>
      </c>
      <c r="R2">
        <f>SUMIFS('state calcs'!R62:R112,'state calcs'!$A$62:$A$112,About!$B$2)</f>
        <v>2506847.2572305468</v>
      </c>
      <c r="S2">
        <f>SUMIFS('state calcs'!S62:S112,'state calcs'!$A$62:$A$112,About!$B$2)</f>
        <v>2532351.2631380712</v>
      </c>
      <c r="T2">
        <f>SUMIFS('state calcs'!T62:T112,'state calcs'!$A$62:$A$112,About!$B$2)</f>
        <v>2557770.0854053949</v>
      </c>
      <c r="U2">
        <f>SUMIFS('state calcs'!U62:U112,'state calcs'!$A$62:$A$112,About!$B$2)</f>
        <v>2583451.4958457947</v>
      </c>
      <c r="V2">
        <f>SUMIFS('state calcs'!V62:V112,'state calcs'!$A$62:$A$112,About!$B$2)</f>
        <v>2609211.2108994965</v>
      </c>
      <c r="W2">
        <f>SUMIFS('state calcs'!W62:W112,'state calcs'!$A$62:$A$112,About!$B$2)</f>
        <v>2634748.4998066723</v>
      </c>
      <c r="X2">
        <f>SUMIFS('state calcs'!X62:X112,'state calcs'!$A$62:$A$112,About!$B$2)</f>
        <v>2660203.145658487</v>
      </c>
      <c r="Y2">
        <f>SUMIFS('state calcs'!Y62:Y112,'state calcs'!$A$62:$A$112,About!$B$2)</f>
        <v>2685587.3378246301</v>
      </c>
      <c r="Z2">
        <f>SUMIFS('state calcs'!Z62:Z112,'state calcs'!$A$62:$A$112,About!$B$2)</f>
        <v>2710918.9280181951</v>
      </c>
      <c r="AA2">
        <f>SUMIFS('state calcs'!AA62:AA112,'state calcs'!$A$62:$A$112,About!$B$2)</f>
        <v>2736128.382536551</v>
      </c>
      <c r="AB2">
        <f>SUMIFS('state calcs'!AB62:AB112,'state calcs'!$A$62:$A$112,About!$B$2)</f>
        <v>2761329.7128619095</v>
      </c>
      <c r="AC2">
        <f>SUMIFS('state calcs'!AC62:AC112,'state calcs'!$A$62:$A$112,About!$B$2)</f>
        <v>2786392.2909901384</v>
      </c>
      <c r="AD2">
        <f>SUMIFS('state calcs'!AD62:AD112,'state calcs'!$A$62:$A$112,About!$B$2)</f>
        <v>2811295.0668652453</v>
      </c>
      <c r="AE2">
        <f>SUMIFS('state calcs'!AE62:AE112,'state calcs'!$A$62:$A$112,About!$B$2)</f>
        <v>2836091.5483741299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2026-06-12T19:29:55Z</dcterms:modified>
</cp:coreProperties>
</file>