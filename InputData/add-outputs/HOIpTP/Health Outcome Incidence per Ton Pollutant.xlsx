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C\add-outputs\HOIpTP\"/>
    </mc:Choice>
  </mc:AlternateContent>
  <xr:revisionPtr revIDLastSave="0" documentId="8_{CF6DCAF9-C7A9-4FDF-8A7F-80E4D65CB7D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E15" i="19"/>
  <c r="B15" i="19"/>
  <c r="X15" i="19" s="1"/>
  <c r="V14" i="19"/>
  <c r="B14" i="19"/>
  <c r="AA14" i="19" s="1"/>
  <c r="Y13" i="19"/>
  <c r="T13" i="19"/>
  <c r="P13" i="19"/>
  <c r="M13" i="19"/>
  <c r="B13" i="19"/>
  <c r="J13" i="19" s="1"/>
  <c r="U12" i="19"/>
  <c r="Q12" i="19"/>
  <c r="J12" i="19"/>
  <c r="H12" i="19"/>
  <c r="F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S8" i="19"/>
  <c r="Q8" i="19"/>
  <c r="O8" i="19"/>
  <c r="K8" i="19"/>
  <c r="F8" i="19"/>
  <c r="B8" i="19"/>
  <c r="L8" i="19" s="1"/>
  <c r="U7" i="19"/>
  <c r="F7" i="19"/>
  <c r="B7" i="19"/>
  <c r="AA7" i="19" s="1"/>
  <c r="R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S3" i="19"/>
  <c r="Q3" i="19"/>
  <c r="N3" i="19"/>
  <c r="E3" i="19"/>
  <c r="B3" i="19"/>
  <c r="O3" i="19" s="1"/>
  <c r="AB2" i="19"/>
  <c r="S2" i="19"/>
  <c r="N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A17" i="18"/>
  <c r="T17" i="18"/>
  <c r="Q17" i="18"/>
  <c r="M17" i="18"/>
  <c r="D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W15" i="18"/>
  <c r="Q15" i="18"/>
  <c r="K15" i="18"/>
  <c r="B15" i="18"/>
  <c r="Y14" i="18"/>
  <c r="R14" i="18"/>
  <c r="B14" i="18"/>
  <c r="AB14" i="18" s="1"/>
  <c r="P13" i="18"/>
  <c r="G13" i="18"/>
  <c r="B13" i="18"/>
  <c r="Q13" i="18" s="1"/>
  <c r="AB12" i="18"/>
  <c r="X12" i="18"/>
  <c r="B12" i="18"/>
  <c r="Z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X8" i="18"/>
  <c r="U8" i="18"/>
  <c r="Q8" i="18"/>
  <c r="M8" i="18"/>
  <c r="J8" i="18"/>
  <c r="F8" i="18"/>
  <c r="D8" i="18"/>
  <c r="B8" i="18"/>
  <c r="AA8" i="18" s="1"/>
  <c r="H7" i="18"/>
  <c r="C7" i="18"/>
  <c r="B7" i="18"/>
  <c r="AB7" i="18" s="1"/>
  <c r="AA6" i="18"/>
  <c r="X6" i="18"/>
  <c r="P6" i="18"/>
  <c r="O6" i="18"/>
  <c r="J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R3" i="18"/>
  <c r="P3" i="18"/>
  <c r="M3" i="18"/>
  <c r="J3" i="18"/>
  <c r="E3" i="18"/>
  <c r="B3" i="18"/>
  <c r="Z3" i="18" s="1"/>
  <c r="Z2" i="18"/>
  <c r="Y2" i="18"/>
  <c r="V2" i="18"/>
  <c r="U2" i="18"/>
  <c r="P2" i="18"/>
  <c r="O2" i="18"/>
  <c r="M2" i="18"/>
  <c r="K2" i="18"/>
  <c r="G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Y17" i="17"/>
  <c r="X17" i="17"/>
  <c r="R17" i="17"/>
  <c r="Q17" i="17"/>
  <c r="M17" i="17"/>
  <c r="E17" i="17"/>
  <c r="B17" i="17"/>
  <c r="Z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I15" i="17"/>
  <c r="B15" i="17"/>
  <c r="B14" i="17"/>
  <c r="C14" i="17" s="1"/>
  <c r="W13" i="17"/>
  <c r="R13" i="17"/>
  <c r="Q13" i="17"/>
  <c r="C13" i="17"/>
  <c r="B13" i="17"/>
  <c r="AA13" i="17" s="1"/>
  <c r="Y12" i="17"/>
  <c r="V12" i="17"/>
  <c r="G12" i="17"/>
  <c r="F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J8" i="17"/>
  <c r="F8" i="17"/>
  <c r="D8" i="17"/>
  <c r="C8" i="17"/>
  <c r="B8" i="17"/>
  <c r="AB8" i="17" s="1"/>
  <c r="Z7" i="17"/>
  <c r="W7" i="17"/>
  <c r="T7" i="17"/>
  <c r="S7" i="17"/>
  <c r="O7" i="17"/>
  <c r="K7" i="17"/>
  <c r="H7" i="17"/>
  <c r="G7" i="17"/>
  <c r="E7" i="17"/>
  <c r="B7" i="17"/>
  <c r="M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R17" i="16"/>
  <c r="G17" i="16"/>
  <c r="D17" i="16"/>
  <c r="B17" i="16"/>
  <c r="V17" i="16" s="1"/>
  <c r="B16" i="16"/>
  <c r="AA15" i="16"/>
  <c r="X15" i="16"/>
  <c r="K15" i="16"/>
  <c r="B15" i="16"/>
  <c r="Y15" i="16" s="1"/>
  <c r="Y14" i="16"/>
  <c r="G14" i="16"/>
  <c r="F14" i="16"/>
  <c r="C14" i="16"/>
  <c r="B14" i="16"/>
  <c r="AB14" i="16" s="1"/>
  <c r="X13" i="16"/>
  <c r="D13" i="16"/>
  <c r="B13" i="16"/>
  <c r="W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O7" i="16"/>
  <c r="M7" i="16"/>
  <c r="J7" i="16"/>
  <c r="H7" i="16"/>
  <c r="G7" i="16"/>
  <c r="F7" i="16"/>
  <c r="E7" i="16"/>
  <c r="D7" i="16"/>
  <c r="C7" i="16"/>
  <c r="B7" i="16"/>
  <c r="Z7" i="16" s="1"/>
  <c r="W6" i="16"/>
  <c r="V6" i="16"/>
  <c r="S6" i="16"/>
  <c r="Q6" i="16"/>
  <c r="N6" i="16"/>
  <c r="M6" i="16"/>
  <c r="L6" i="16"/>
  <c r="J6" i="16"/>
  <c r="I6" i="16"/>
  <c r="G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Y2" i="16"/>
  <c r="W2" i="16"/>
  <c r="T2" i="16"/>
  <c r="P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V15" i="15"/>
  <c r="B15" i="15"/>
  <c r="B14" i="15"/>
  <c r="AA13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AA12" i="15"/>
  <c r="X12" i="15"/>
  <c r="W12" i="15"/>
  <c r="V12" i="15"/>
  <c r="T12" i="15"/>
  <c r="S12" i="15"/>
  <c r="R12" i="15"/>
  <c r="P12" i="15"/>
  <c r="O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Y8" i="15"/>
  <c r="W8" i="15"/>
  <c r="R8" i="15"/>
  <c r="O8" i="15"/>
  <c r="N8" i="15"/>
  <c r="L8" i="15"/>
  <c r="H8" i="15"/>
  <c r="B8" i="15"/>
  <c r="AB8" i="15" s="1"/>
  <c r="AB7" i="15"/>
  <c r="W7" i="15"/>
  <c r="U7" i="15"/>
  <c r="S7" i="15"/>
  <c r="R7" i="15"/>
  <c r="Q7" i="15"/>
  <c r="O7" i="15"/>
  <c r="N7" i="15"/>
  <c r="L7" i="15"/>
  <c r="K7" i="15"/>
  <c r="I7" i="15"/>
  <c r="H7" i="15"/>
  <c r="G7" i="15"/>
  <c r="F7" i="15"/>
  <c r="E7" i="15"/>
  <c r="B7" i="15"/>
  <c r="AA7" i="15" s="1"/>
  <c r="AB6" i="15"/>
  <c r="AA6" i="15"/>
  <c r="X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J3" i="15"/>
  <c r="I3" i="15"/>
  <c r="B3" i="15"/>
  <c r="AA2" i="15"/>
  <c r="Z2" i="15"/>
  <c r="V2" i="15"/>
  <c r="R2" i="15"/>
  <c r="J2" i="15"/>
  <c r="G2" i="15"/>
  <c r="F2" i="15"/>
  <c r="E2" i="15"/>
  <c r="B2" i="15"/>
  <c r="S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B17" i="14"/>
  <c r="C17" i="14" s="1"/>
  <c r="H16" i="14"/>
  <c r="B16" i="14"/>
  <c r="AB15" i="14"/>
  <c r="AA15" i="14"/>
  <c r="Y15" i="14"/>
  <c r="U15" i="14"/>
  <c r="K15" i="14"/>
  <c r="J15" i="14"/>
  <c r="H15" i="14"/>
  <c r="B15" i="14"/>
  <c r="W15" i="14" s="1"/>
  <c r="AB14" i="14"/>
  <c r="R14" i="14"/>
  <c r="B14" i="14"/>
  <c r="X13" i="14"/>
  <c r="S13" i="14"/>
  <c r="R13" i="14"/>
  <c r="Q13" i="14"/>
  <c r="N13" i="14"/>
  <c r="K13" i="14"/>
  <c r="B13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V7" i="14"/>
  <c r="S7" i="14"/>
  <c r="R7" i="14"/>
  <c r="P7" i="14"/>
  <c r="N7" i="14"/>
  <c r="M7" i="14"/>
  <c r="K7" i="14"/>
  <c r="I7" i="14"/>
  <c r="H7" i="14"/>
  <c r="G7" i="14"/>
  <c r="E7" i="14"/>
  <c r="D7" i="14"/>
  <c r="C7" i="14"/>
  <c r="B7" i="14"/>
  <c r="Z7" i="14" s="1"/>
  <c r="W6" i="14"/>
  <c r="T6" i="14"/>
  <c r="S6" i="14"/>
  <c r="R6" i="14"/>
  <c r="Q6" i="14"/>
  <c r="P6" i="14"/>
  <c r="M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V3" i="14"/>
  <c r="K3" i="14"/>
  <c r="G3" i="14"/>
  <c r="F3" i="14"/>
  <c r="E3" i="14"/>
  <c r="B3" i="14"/>
  <c r="W3" i="14" s="1"/>
  <c r="AB2" i="14"/>
  <c r="Z2" i="14"/>
  <c r="X2" i="14"/>
  <c r="V2" i="14"/>
  <c r="U2" i="14"/>
  <c r="P2" i="14"/>
  <c r="O2" i="14"/>
  <c r="L2" i="14"/>
  <c r="G2" i="14"/>
  <c r="F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Z15" i="13"/>
  <c r="T15" i="13"/>
  <c r="R15" i="13"/>
  <c r="P15" i="13"/>
  <c r="N15" i="13"/>
  <c r="L15" i="13"/>
  <c r="K15" i="13"/>
  <c r="I15" i="13"/>
  <c r="H15" i="13"/>
  <c r="G15" i="13"/>
  <c r="F15" i="13"/>
  <c r="E15" i="13"/>
  <c r="D15" i="13"/>
  <c r="B15" i="13"/>
  <c r="AB15" i="13" s="1"/>
  <c r="N14" i="13"/>
  <c r="E14" i="13"/>
  <c r="B14" i="13"/>
  <c r="Z13" i="13"/>
  <c r="Y13" i="13"/>
  <c r="X13" i="13"/>
  <c r="T13" i="13"/>
  <c r="B13" i="13"/>
  <c r="V13" i="13" s="1"/>
  <c r="X12" i="13"/>
  <c r="W12" i="13"/>
  <c r="U12" i="13"/>
  <c r="S12" i="13"/>
  <c r="R12" i="13"/>
  <c r="O12" i="13"/>
  <c r="L12" i="13"/>
  <c r="J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A7" i="13"/>
  <c r="H7" i="13"/>
  <c r="G7" i="13"/>
  <c r="B7" i="13"/>
  <c r="AB7" i="13" s="1"/>
  <c r="Z6" i="13"/>
  <c r="O6" i="13"/>
  <c r="M6" i="13"/>
  <c r="K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N3" i="13"/>
  <c r="M3" i="13"/>
  <c r="L3" i="13"/>
  <c r="K3" i="13"/>
  <c r="J3" i="13"/>
  <c r="I3" i="13"/>
  <c r="F3" i="13"/>
  <c r="E3" i="13"/>
  <c r="D3" i="13"/>
  <c r="C3" i="13"/>
  <c r="B3" i="13"/>
  <c r="O2" i="13"/>
  <c r="H2" i="13"/>
  <c r="G2" i="13"/>
  <c r="F2" i="13"/>
  <c r="E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AB15" i="12"/>
  <c r="Z15" i="12"/>
  <c r="Y15" i="12"/>
  <c r="W15" i="12"/>
  <c r="V15" i="12"/>
  <c r="T15" i="12"/>
  <c r="S15" i="12"/>
  <c r="R15" i="12"/>
  <c r="Q15" i="12"/>
  <c r="P15" i="12"/>
  <c r="O15" i="12"/>
  <c r="N15" i="12"/>
  <c r="M15" i="12"/>
  <c r="L15" i="12"/>
  <c r="K15" i="12"/>
  <c r="G15" i="12"/>
  <c r="F15" i="12"/>
  <c r="B15" i="12"/>
  <c r="B14" i="12"/>
  <c r="Y14" i="12" s="1"/>
  <c r="B13" i="12"/>
  <c r="AB12" i="12"/>
  <c r="AA12" i="12"/>
  <c r="Z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H8" i="12" s="1"/>
  <c r="AB7" i="12"/>
  <c r="AA7" i="12"/>
  <c r="Z7" i="12"/>
  <c r="X7" i="12"/>
  <c r="W7" i="12"/>
  <c r="S7" i="12"/>
  <c r="K7" i="12"/>
  <c r="J7" i="12"/>
  <c r="F7" i="12"/>
  <c r="E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P3" i="12"/>
  <c r="N3" i="12"/>
  <c r="L3" i="12"/>
  <c r="K3" i="12"/>
  <c r="I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X14" i="11"/>
  <c r="U14" i="11"/>
  <c r="T14" i="11"/>
  <c r="R14" i="11"/>
  <c r="O14" i="11"/>
  <c r="L14" i="11"/>
  <c r="J14" i="11"/>
  <c r="I14" i="11"/>
  <c r="H14" i="11"/>
  <c r="G14" i="11"/>
  <c r="F14" i="11"/>
  <c r="E14" i="11"/>
  <c r="C14" i="11"/>
  <c r="B14" i="11"/>
  <c r="AB14" i="11" s="1"/>
  <c r="AB13" i="11"/>
  <c r="AA13" i="11"/>
  <c r="Z13" i="11"/>
  <c r="Y13" i="11"/>
  <c r="X13" i="11"/>
  <c r="V13" i="11"/>
  <c r="U13" i="11"/>
  <c r="R13" i="11"/>
  <c r="M13" i="11"/>
  <c r="L13" i="11"/>
  <c r="K13" i="11"/>
  <c r="J13" i="11"/>
  <c r="B13" i="11"/>
  <c r="Q13" i="11" s="1"/>
  <c r="AB12" i="11"/>
  <c r="Z12" i="11"/>
  <c r="Y12" i="11"/>
  <c r="X12" i="11"/>
  <c r="U12" i="11"/>
  <c r="T12" i="11"/>
  <c r="O12" i="11"/>
  <c r="B12" i="11"/>
  <c r="C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T8" i="11"/>
  <c r="Q8" i="11"/>
  <c r="O8" i="11"/>
  <c r="N8" i="11"/>
  <c r="K8" i="11"/>
  <c r="J8" i="11"/>
  <c r="I8" i="11"/>
  <c r="E8" i="11"/>
  <c r="D8" i="11"/>
  <c r="C8" i="11"/>
  <c r="B8" i="11"/>
  <c r="R8" i="11" s="1"/>
  <c r="V7" i="11"/>
  <c r="P7" i="11"/>
  <c r="O7" i="11"/>
  <c r="N7" i="11"/>
  <c r="L7" i="11"/>
  <c r="J7" i="11"/>
  <c r="I7" i="11"/>
  <c r="H7" i="11"/>
  <c r="G7" i="11"/>
  <c r="F7" i="11"/>
  <c r="E7" i="11"/>
  <c r="D7" i="11"/>
  <c r="C7" i="11"/>
  <c r="B7" i="11"/>
  <c r="AB7" i="11" s="1"/>
  <c r="X6" i="11"/>
  <c r="P6" i="11"/>
  <c r="L6" i="11"/>
  <c r="I6" i="11"/>
  <c r="H6" i="11"/>
  <c r="G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D3" i="11"/>
  <c r="B3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Y15" i="10"/>
  <c r="U15" i="10"/>
  <c r="T15" i="10"/>
  <c r="R15" i="10"/>
  <c r="N15" i="10"/>
  <c r="M15" i="10"/>
  <c r="L15" i="10"/>
  <c r="K15" i="10"/>
  <c r="H15" i="10"/>
  <c r="G15" i="10"/>
  <c r="E15" i="10"/>
  <c r="C15" i="10"/>
  <c r="B15" i="10"/>
  <c r="AB15" i="10" s="1"/>
  <c r="W14" i="10"/>
  <c r="T14" i="10"/>
  <c r="S14" i="10"/>
  <c r="R14" i="10"/>
  <c r="P14" i="10"/>
  <c r="N14" i="10"/>
  <c r="L14" i="10"/>
  <c r="K14" i="10"/>
  <c r="I14" i="10"/>
  <c r="G14" i="10"/>
  <c r="F14" i="10"/>
  <c r="E14" i="10"/>
  <c r="D14" i="10"/>
  <c r="C14" i="10"/>
  <c r="B14" i="10"/>
  <c r="AA14" i="10" s="1"/>
  <c r="B13" i="10"/>
  <c r="D13" i="10" s="1"/>
  <c r="G12" i="10"/>
  <c r="B12" i="10"/>
  <c r="C11" i="10"/>
  <c r="B11" i="10"/>
  <c r="B10" i="10"/>
  <c r="B9" i="10"/>
  <c r="AB8" i="10"/>
  <c r="Z8" i="10"/>
  <c r="N8" i="10"/>
  <c r="K8" i="10"/>
  <c r="I8" i="10"/>
  <c r="G8" i="10"/>
  <c r="C8" i="10"/>
  <c r="B8" i="10"/>
  <c r="Q8" i="10" s="1"/>
  <c r="B7" i="10"/>
  <c r="X7" i="10" s="1"/>
  <c r="R6" i="10"/>
  <c r="O6" i="10"/>
  <c r="L6" i="10"/>
  <c r="E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X2" i="10"/>
  <c r="P2" i="10"/>
  <c r="N2" i="10"/>
  <c r="M2" i="10"/>
  <c r="L2" i="10"/>
  <c r="K2" i="10"/>
  <c r="J2" i="10"/>
  <c r="H2" i="10"/>
  <c r="G2" i="10"/>
  <c r="F2" i="10"/>
  <c r="E2" i="10"/>
  <c r="B2" i="10"/>
  <c r="C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B15" i="9"/>
  <c r="AA14" i="9"/>
  <c r="Z14" i="9"/>
  <c r="Y14" i="9"/>
  <c r="S14" i="9"/>
  <c r="F14" i="9"/>
  <c r="B14" i="9"/>
  <c r="AA13" i="9"/>
  <c r="Z13" i="9"/>
  <c r="Y13" i="9"/>
  <c r="X13" i="9"/>
  <c r="W13" i="9"/>
  <c r="S13" i="9"/>
  <c r="Q13" i="9"/>
  <c r="M13" i="9"/>
  <c r="D13" i="9"/>
  <c r="C13" i="9"/>
  <c r="B13" i="9"/>
  <c r="U12" i="9"/>
  <c r="S12" i="9"/>
  <c r="E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B7" i="9"/>
  <c r="S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Z3" i="9"/>
  <c r="Y3" i="9"/>
  <c r="S3" i="9"/>
  <c r="O3" i="9"/>
  <c r="K3" i="9"/>
  <c r="G3" i="9"/>
  <c r="F3" i="9"/>
  <c r="C3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J15" i="8"/>
  <c r="I15" i="8"/>
  <c r="B15" i="8"/>
  <c r="I14" i="8"/>
  <c r="E14" i="8"/>
  <c r="B14" i="8"/>
  <c r="AB13" i="8"/>
  <c r="AA13" i="8"/>
  <c r="X13" i="8"/>
  <c r="W13" i="8"/>
  <c r="M13" i="8"/>
  <c r="L13" i="8"/>
  <c r="K13" i="8"/>
  <c r="G13" i="8"/>
  <c r="B13" i="8"/>
  <c r="B12" i="8"/>
  <c r="O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Q7" i="8"/>
  <c r="P7" i="8"/>
  <c r="B7" i="8"/>
  <c r="O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AB3" i="8" s="1"/>
  <c r="U2" i="8"/>
  <c r="T2" i="8"/>
  <c r="S2" i="8"/>
  <c r="N2" i="8"/>
  <c r="M2" i="8"/>
  <c r="L2" i="8"/>
  <c r="K2" i="8"/>
  <c r="I2" i="8"/>
  <c r="H2" i="8"/>
  <c r="G2" i="8"/>
  <c r="F2" i="8"/>
  <c r="C2" i="8"/>
  <c r="B2" i="8"/>
  <c r="Z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T17" i="7"/>
  <c r="S17" i="7"/>
  <c r="Q17" i="7"/>
  <c r="M17" i="7"/>
  <c r="L17" i="7"/>
  <c r="K17" i="7"/>
  <c r="J17" i="7"/>
  <c r="I17" i="7"/>
  <c r="H17" i="7"/>
  <c r="F17" i="7"/>
  <c r="E17" i="7"/>
  <c r="D17" i="7"/>
  <c r="B17" i="7"/>
  <c r="U17" i="7" s="1"/>
  <c r="N16" i="7"/>
  <c r="M16" i="7"/>
  <c r="L16" i="7"/>
  <c r="J16" i="7"/>
  <c r="H16" i="7"/>
  <c r="G16" i="7"/>
  <c r="B16" i="7"/>
  <c r="AA16" i="7" s="1"/>
  <c r="AA15" i="7"/>
  <c r="Y15" i="7"/>
  <c r="W15" i="7"/>
  <c r="V15" i="7"/>
  <c r="U15" i="7"/>
  <c r="T15" i="7"/>
  <c r="S15" i="7"/>
  <c r="Q15" i="7"/>
  <c r="P15" i="7"/>
  <c r="O15" i="7"/>
  <c r="N15" i="7"/>
  <c r="J15" i="7"/>
  <c r="G15" i="7"/>
  <c r="F15" i="7"/>
  <c r="E15" i="7"/>
  <c r="C15" i="7"/>
  <c r="B15" i="7"/>
  <c r="B14" i="7"/>
  <c r="V14" i="7" s="1"/>
  <c r="AB13" i="7"/>
  <c r="AA13" i="7"/>
  <c r="X13" i="7"/>
  <c r="W13" i="7"/>
  <c r="V13" i="7"/>
  <c r="T13" i="7"/>
  <c r="S13" i="7"/>
  <c r="Q13" i="7"/>
  <c r="O13" i="7"/>
  <c r="N13" i="7"/>
  <c r="M13" i="7"/>
  <c r="K13" i="7"/>
  <c r="J13" i="7"/>
  <c r="I13" i="7"/>
  <c r="H13" i="7"/>
  <c r="F13" i="7"/>
  <c r="E13" i="7"/>
  <c r="B13" i="7"/>
  <c r="Y12" i="7"/>
  <c r="X12" i="7"/>
  <c r="W12" i="7"/>
  <c r="T12" i="7"/>
  <c r="S12" i="7"/>
  <c r="R12" i="7"/>
  <c r="P12" i="7"/>
  <c r="O12" i="7"/>
  <c r="M12" i="7"/>
  <c r="L12" i="7"/>
  <c r="K12" i="7"/>
  <c r="J12" i="7"/>
  <c r="H12" i="7"/>
  <c r="G12" i="7"/>
  <c r="F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B8" i="7"/>
  <c r="AB7" i="7"/>
  <c r="S7" i="7"/>
  <c r="R7" i="7"/>
  <c r="Q7" i="7"/>
  <c r="M7" i="7"/>
  <c r="K7" i="7"/>
  <c r="E7" i="7"/>
  <c r="C7" i="7"/>
  <c r="B7" i="7"/>
  <c r="B6" i="7"/>
  <c r="F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V3" i="7"/>
  <c r="T3" i="7"/>
  <c r="S3" i="7"/>
  <c r="P3" i="7"/>
  <c r="O3" i="7"/>
  <c r="N3" i="7"/>
  <c r="M3" i="7"/>
  <c r="L3" i="7"/>
  <c r="K3" i="7"/>
  <c r="J3" i="7"/>
  <c r="H3" i="7"/>
  <c r="G3" i="7"/>
  <c r="B3" i="7"/>
  <c r="Z3" i="7" s="1"/>
  <c r="P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G17" i="6"/>
  <c r="F17" i="6"/>
  <c r="E17" i="6"/>
  <c r="D17" i="6"/>
  <c r="C17" i="6"/>
  <c r="B17" i="6"/>
  <c r="E16" i="6"/>
  <c r="D16" i="6"/>
  <c r="C16" i="6"/>
  <c r="B16" i="6"/>
  <c r="Y15" i="6"/>
  <c r="U15" i="6"/>
  <c r="T15" i="6"/>
  <c r="R15" i="6"/>
  <c r="P15" i="6"/>
  <c r="O15" i="6"/>
  <c r="N15" i="6"/>
  <c r="M15" i="6"/>
  <c r="L15" i="6"/>
  <c r="K15" i="6"/>
  <c r="J15" i="6"/>
  <c r="I15" i="6"/>
  <c r="H15" i="6"/>
  <c r="G15" i="6"/>
  <c r="F15" i="6"/>
  <c r="E15" i="6"/>
  <c r="B15" i="6"/>
  <c r="W15" i="6" s="1"/>
  <c r="AB14" i="6"/>
  <c r="X14" i="6"/>
  <c r="T14" i="6"/>
  <c r="S14" i="6"/>
  <c r="Q14" i="6"/>
  <c r="P14" i="6"/>
  <c r="O14" i="6"/>
  <c r="N14" i="6"/>
  <c r="M14" i="6"/>
  <c r="L14" i="6"/>
  <c r="K14" i="6"/>
  <c r="J14" i="6"/>
  <c r="I14" i="6"/>
  <c r="H14" i="6"/>
  <c r="F14" i="6"/>
  <c r="E14" i="6"/>
  <c r="B14" i="6"/>
  <c r="AA14" i="6" s="1"/>
  <c r="R13" i="6"/>
  <c r="Q13" i="6"/>
  <c r="P13" i="6"/>
  <c r="K13" i="6"/>
  <c r="I13" i="6"/>
  <c r="H13" i="6"/>
  <c r="G13" i="6"/>
  <c r="B13" i="6"/>
  <c r="AB12" i="6"/>
  <c r="Y12" i="6"/>
  <c r="W12" i="6"/>
  <c r="V12" i="6"/>
  <c r="U12" i="6"/>
  <c r="S12" i="6"/>
  <c r="R12" i="6"/>
  <c r="P12" i="6"/>
  <c r="K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D8" i="6"/>
  <c r="C8" i="6"/>
  <c r="B8" i="6"/>
  <c r="AB8" i="6" s="1"/>
  <c r="B7" i="6"/>
  <c r="J7" i="6" s="1"/>
  <c r="L6" i="6"/>
  <c r="K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T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X17" i="5" s="1"/>
  <c r="B16" i="5"/>
  <c r="Y15" i="5"/>
  <c r="W15" i="5"/>
  <c r="V15" i="5"/>
  <c r="B15" i="5"/>
  <c r="T15" i="5" s="1"/>
  <c r="B14" i="5"/>
  <c r="D14" i="5" s="1"/>
  <c r="Z13" i="5"/>
  <c r="M13" i="5"/>
  <c r="I13" i="5"/>
  <c r="H13" i="5"/>
  <c r="G13" i="5"/>
  <c r="D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B7" i="5"/>
  <c r="D7" i="5" s="1"/>
  <c r="B6" i="5"/>
  <c r="R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B3" i="5"/>
  <c r="W3" i="5" s="1"/>
  <c r="F2" i="5"/>
  <c r="E2" i="5"/>
  <c r="D2" i="5"/>
  <c r="B2" i="5"/>
  <c r="C2" i="5" s="1"/>
  <c r="B2" i="1"/>
  <c r="Z15" i="8" l="1"/>
  <c r="N15" i="8"/>
  <c r="AA15" i="8"/>
  <c r="Y15" i="8"/>
  <c r="U15" i="8"/>
  <c r="M15" i="8"/>
  <c r="P15" i="8"/>
  <c r="O15" i="8"/>
  <c r="L15" i="8"/>
  <c r="K15" i="8"/>
  <c r="G15" i="8"/>
  <c r="F15" i="8"/>
  <c r="E15" i="8"/>
  <c r="S2" i="13"/>
  <c r="U2" i="13"/>
  <c r="P2" i="13"/>
  <c r="N2" i="13"/>
  <c r="AB2" i="13"/>
  <c r="Z2" i="13"/>
  <c r="Y2" i="13"/>
  <c r="X2" i="13"/>
  <c r="R2" i="13"/>
  <c r="V2" i="13"/>
  <c r="M2" i="13"/>
  <c r="L2" i="13"/>
  <c r="J2" i="13"/>
  <c r="I2" i="13"/>
  <c r="C2" i="13"/>
  <c r="P3" i="15"/>
  <c r="L3" i="15"/>
  <c r="Z3" i="15"/>
  <c r="X3" i="15"/>
  <c r="Q3" i="15"/>
  <c r="AA3" i="15"/>
  <c r="Y3" i="15"/>
  <c r="W3" i="15"/>
  <c r="U3" i="15"/>
  <c r="T3" i="15"/>
  <c r="N3" i="15"/>
  <c r="K3" i="15"/>
  <c r="M3" i="15"/>
  <c r="G3" i="15"/>
  <c r="F3" i="15"/>
  <c r="E3" i="15"/>
  <c r="D3" i="15"/>
  <c r="K15" i="15"/>
  <c r="E15" i="15"/>
  <c r="AA15" i="15"/>
  <c r="X15" i="15"/>
  <c r="U15" i="15"/>
  <c r="Y15" i="15"/>
  <c r="S15" i="15"/>
  <c r="I15" i="15"/>
  <c r="G15" i="15"/>
  <c r="C15" i="15"/>
  <c r="N17" i="6"/>
  <c r="L17" i="6"/>
  <c r="V17" i="6"/>
  <c r="S17" i="6"/>
  <c r="U17" i="6"/>
  <c r="T17" i="6"/>
  <c r="R17" i="6"/>
  <c r="Q17" i="6"/>
  <c r="K17" i="6"/>
  <c r="J17" i="6"/>
  <c r="H17" i="6"/>
  <c r="H15" i="8"/>
  <c r="D2" i="13"/>
  <c r="C3" i="15"/>
  <c r="T15" i="15"/>
  <c r="X8" i="7"/>
  <c r="I8" i="7"/>
  <c r="Z8" i="7"/>
  <c r="Y8" i="7"/>
  <c r="W8" i="7"/>
  <c r="V8" i="7"/>
  <c r="U8" i="7"/>
  <c r="T8" i="7"/>
  <c r="N8" i="7"/>
  <c r="M8" i="7"/>
  <c r="L8" i="7"/>
  <c r="I7" i="9"/>
  <c r="Z14" i="5"/>
  <c r="U17" i="5"/>
  <c r="D8" i="7"/>
  <c r="X14" i="8"/>
  <c r="P14" i="8"/>
  <c r="T14" i="8"/>
  <c r="S14" i="8"/>
  <c r="R14" i="8"/>
  <c r="N14" i="8"/>
  <c r="Q14" i="8"/>
  <c r="O14" i="8"/>
  <c r="M14" i="8"/>
  <c r="L14" i="8"/>
  <c r="H14" i="8"/>
  <c r="G14" i="8"/>
  <c r="F14" i="8"/>
  <c r="J7" i="9"/>
  <c r="I8" i="12"/>
  <c r="G7" i="9"/>
  <c r="V17" i="5"/>
  <c r="C14" i="8"/>
  <c r="L7" i="9"/>
  <c r="AA8" i="12"/>
  <c r="C7" i="9"/>
  <c r="W6" i="5"/>
  <c r="AA6" i="7"/>
  <c r="K6" i="7"/>
  <c r="AB6" i="7"/>
  <c r="W6" i="7"/>
  <c r="Z6" i="7"/>
  <c r="X6" i="7"/>
  <c r="V6" i="7"/>
  <c r="U6" i="7"/>
  <c r="P6" i="7"/>
  <c r="O6" i="7"/>
  <c r="N6" i="7"/>
  <c r="Q2" i="13"/>
  <c r="O17" i="6"/>
  <c r="O14" i="7"/>
  <c r="AA14" i="5"/>
  <c r="P17" i="6"/>
  <c r="H6" i="7"/>
  <c r="E8" i="7"/>
  <c r="Q14" i="7"/>
  <c r="AB14" i="5"/>
  <c r="W17" i="5"/>
  <c r="W17" i="6"/>
  <c r="I6" i="7"/>
  <c r="F8" i="7"/>
  <c r="R14" i="7"/>
  <c r="D14" i="8"/>
  <c r="Q7" i="9"/>
  <c r="Y17" i="5"/>
  <c r="G15" i="5"/>
  <c r="P6" i="6"/>
  <c r="AA6" i="6"/>
  <c r="AB6" i="6"/>
  <c r="O6" i="6"/>
  <c r="N6" i="6"/>
  <c r="J6" i="6"/>
  <c r="I6" i="6"/>
  <c r="E6" i="6"/>
  <c r="AA17" i="6"/>
  <c r="S6" i="7"/>
  <c r="J8" i="7"/>
  <c r="N12" i="8"/>
  <c r="J14" i="8"/>
  <c r="U3" i="11"/>
  <c r="Q3" i="11"/>
  <c r="M3" i="11"/>
  <c r="R3" i="11"/>
  <c r="P3" i="11"/>
  <c r="L3" i="11"/>
  <c r="K3" i="11"/>
  <c r="J3" i="11"/>
  <c r="I3" i="11"/>
  <c r="H3" i="11"/>
  <c r="E3" i="11"/>
  <c r="Y3" i="11"/>
  <c r="K14" i="12"/>
  <c r="O14" i="5"/>
  <c r="Z14" i="7"/>
  <c r="U14" i="7"/>
  <c r="N14" i="7"/>
  <c r="J14" i="7"/>
  <c r="M14" i="7"/>
  <c r="L14" i="7"/>
  <c r="I14" i="7"/>
  <c r="H14" i="7"/>
  <c r="F7" i="9"/>
  <c r="D14" i="7"/>
  <c r="T17" i="5"/>
  <c r="H15" i="5"/>
  <c r="AB17" i="6"/>
  <c r="G7" i="7"/>
  <c r="L7" i="7"/>
  <c r="AA7" i="7"/>
  <c r="W7" i="7"/>
  <c r="Z7" i="7"/>
  <c r="Y7" i="7"/>
  <c r="V7" i="7"/>
  <c r="U7" i="7"/>
  <c r="P7" i="7"/>
  <c r="O7" i="7"/>
  <c r="N7" i="7"/>
  <c r="K8" i="7"/>
  <c r="X14" i="7"/>
  <c r="K14" i="8"/>
  <c r="X14" i="9"/>
  <c r="M14" i="9"/>
  <c r="H14" i="9"/>
  <c r="R14" i="9"/>
  <c r="Q14" i="9"/>
  <c r="P14" i="9"/>
  <c r="L14" i="9"/>
  <c r="O14" i="9"/>
  <c r="N14" i="9"/>
  <c r="K14" i="9"/>
  <c r="J14" i="9"/>
  <c r="I14" i="9"/>
  <c r="E14" i="9"/>
  <c r="D14" i="9"/>
  <c r="AB14" i="9"/>
  <c r="C14" i="9"/>
  <c r="C3" i="11"/>
  <c r="L14" i="12"/>
  <c r="U14" i="13"/>
  <c r="K14" i="13"/>
  <c r="Y14" i="13"/>
  <c r="T14" i="13"/>
  <c r="R14" i="13"/>
  <c r="AA14" i="13"/>
  <c r="W14" i="13"/>
  <c r="V14" i="13"/>
  <c r="S14" i="13"/>
  <c r="Q14" i="13"/>
  <c r="P14" i="13"/>
  <c r="O14" i="13"/>
  <c r="L14" i="13"/>
  <c r="J14" i="13"/>
  <c r="H14" i="13"/>
  <c r="F14" i="13"/>
  <c r="M6" i="5"/>
  <c r="W12" i="8"/>
  <c r="Y12" i="8"/>
  <c r="X12" i="8"/>
  <c r="V12" i="8"/>
  <c r="S12" i="8"/>
  <c r="U12" i="8"/>
  <c r="T12" i="8"/>
  <c r="R12" i="8"/>
  <c r="Q12" i="8"/>
  <c r="E12" i="8"/>
  <c r="D12" i="8"/>
  <c r="C12" i="8"/>
  <c r="Z17" i="6"/>
  <c r="R6" i="7"/>
  <c r="H8" i="7"/>
  <c r="T14" i="7"/>
  <c r="O15" i="5"/>
  <c r="P8" i="7"/>
  <c r="X14" i="12"/>
  <c r="AB12" i="16"/>
  <c r="Y12" i="16"/>
  <c r="K12" i="16"/>
  <c r="I12" i="16"/>
  <c r="X12" i="16"/>
  <c r="Q2" i="11"/>
  <c r="N2" i="11"/>
  <c r="I2" i="11"/>
  <c r="Y14" i="7"/>
  <c r="Z12" i="8"/>
  <c r="U14" i="8"/>
  <c r="G12" i="5"/>
  <c r="P15" i="5"/>
  <c r="M6" i="6"/>
  <c r="D7" i="7"/>
  <c r="Q8" i="7"/>
  <c r="AA14" i="7"/>
  <c r="F6" i="8"/>
  <c r="AA12" i="8"/>
  <c r="V14" i="8"/>
  <c r="G14" i="9"/>
  <c r="S3" i="11"/>
  <c r="F6" i="12"/>
  <c r="M14" i="13"/>
  <c r="C12" i="16"/>
  <c r="Z2" i="17"/>
  <c r="W2" i="17"/>
  <c r="I2" i="17"/>
  <c r="F2" i="17"/>
  <c r="L2" i="17"/>
  <c r="J2" i="17"/>
  <c r="G2" i="17"/>
  <c r="F14" i="7"/>
  <c r="E14" i="15"/>
  <c r="D14" i="15"/>
  <c r="W12" i="16"/>
  <c r="V14" i="5"/>
  <c r="M17" i="6"/>
  <c r="AB14" i="12"/>
  <c r="W14" i="12"/>
  <c r="V14" i="12"/>
  <c r="R14" i="12"/>
  <c r="Q14" i="12"/>
  <c r="Q15" i="5"/>
  <c r="R8" i="7"/>
  <c r="AB14" i="7"/>
  <c r="AB12" i="8"/>
  <c r="P6" i="8"/>
  <c r="S13" i="8"/>
  <c r="V13" i="8"/>
  <c r="U13" i="8"/>
  <c r="T13" i="8"/>
  <c r="R13" i="8"/>
  <c r="Q13" i="8"/>
  <c r="P13" i="8"/>
  <c r="O13" i="8"/>
  <c r="N13" i="8"/>
  <c r="J13" i="8"/>
  <c r="I13" i="8"/>
  <c r="H13" i="8"/>
  <c r="Y14" i="8"/>
  <c r="T14" i="9"/>
  <c r="M14" i="15"/>
  <c r="AB6" i="5"/>
  <c r="Z6" i="5"/>
  <c r="X6" i="5"/>
  <c r="K6" i="5"/>
  <c r="J6" i="5"/>
  <c r="I6" i="5"/>
  <c r="Z8" i="12"/>
  <c r="W8" i="12"/>
  <c r="U8" i="12"/>
  <c r="Y8" i="12"/>
  <c r="X8" i="12"/>
  <c r="V8" i="12"/>
  <c r="S8" i="12"/>
  <c r="R8" i="12"/>
  <c r="Q8" i="12"/>
  <c r="P8" i="12"/>
  <c r="J8" i="12"/>
  <c r="M8" i="12"/>
  <c r="G8" i="12"/>
  <c r="F8" i="12"/>
  <c r="D8" i="12"/>
  <c r="C8" i="12"/>
  <c r="C8" i="7"/>
  <c r="H12" i="8"/>
  <c r="AA13" i="10"/>
  <c r="Y13" i="10"/>
  <c r="P13" i="10"/>
  <c r="Z13" i="10"/>
  <c r="M13" i="10"/>
  <c r="H13" i="10"/>
  <c r="F13" i="10"/>
  <c r="R15" i="5"/>
  <c r="Z7" i="8"/>
  <c r="U7" i="8"/>
  <c r="Y7" i="8"/>
  <c r="W7" i="8"/>
  <c r="T7" i="8"/>
  <c r="S7" i="8"/>
  <c r="M7" i="8"/>
  <c r="K7" i="8"/>
  <c r="J7" i="8"/>
  <c r="C13" i="8"/>
  <c r="Z14" i="8"/>
  <c r="X12" i="9"/>
  <c r="AA12" i="9"/>
  <c r="AB12" i="9"/>
  <c r="Z12" i="9"/>
  <c r="Y12" i="9"/>
  <c r="W12" i="9"/>
  <c r="O12" i="9"/>
  <c r="J12" i="9"/>
  <c r="H12" i="9"/>
  <c r="U14" i="9"/>
  <c r="N14" i="15"/>
  <c r="D7" i="9"/>
  <c r="D17" i="5"/>
  <c r="S17" i="5"/>
  <c r="Y14" i="5"/>
  <c r="X17" i="6"/>
  <c r="R7" i="9"/>
  <c r="Y2" i="7"/>
  <c r="L2" i="7"/>
  <c r="S2" i="7"/>
  <c r="Z2" i="7"/>
  <c r="R2" i="7"/>
  <c r="Q2" i="7"/>
  <c r="M2" i="7"/>
  <c r="K2" i="7"/>
  <c r="I2" i="7"/>
  <c r="G2" i="7"/>
  <c r="F7" i="7"/>
  <c r="AA8" i="7"/>
  <c r="S15" i="5"/>
  <c r="H7" i="7"/>
  <c r="N2" i="7"/>
  <c r="I7" i="7"/>
  <c r="G7" i="8"/>
  <c r="E13" i="8"/>
  <c r="AA14" i="8"/>
  <c r="C12" i="9"/>
  <c r="V14" i="9"/>
  <c r="O14" i="15"/>
  <c r="Y7" i="9"/>
  <c r="V7" i="9"/>
  <c r="AB7" i="9"/>
  <c r="AA7" i="9"/>
  <c r="X7" i="9"/>
  <c r="W7" i="9"/>
  <c r="U7" i="9"/>
  <c r="T7" i="9"/>
  <c r="P7" i="9"/>
  <c r="N7" i="9"/>
  <c r="M7" i="9"/>
  <c r="E6" i="5"/>
  <c r="O17" i="5"/>
  <c r="R17" i="5"/>
  <c r="Q17" i="5"/>
  <c r="L17" i="5"/>
  <c r="P17" i="5"/>
  <c r="K17" i="5"/>
  <c r="J17" i="5"/>
  <c r="W14" i="5"/>
  <c r="X15" i="5"/>
  <c r="N15" i="5"/>
  <c r="M15" i="5"/>
  <c r="K15" i="5"/>
  <c r="L15" i="5"/>
  <c r="J15" i="5"/>
  <c r="I15" i="5"/>
  <c r="AB15" i="5"/>
  <c r="E15" i="5"/>
  <c r="D15" i="5"/>
  <c r="AA15" i="5"/>
  <c r="Z15" i="5"/>
  <c r="C15" i="5"/>
  <c r="Q6" i="7"/>
  <c r="G8" i="7"/>
  <c r="S14" i="7"/>
  <c r="F15" i="5"/>
  <c r="W14" i="8"/>
  <c r="C2" i="6"/>
  <c r="AB2" i="6"/>
  <c r="AA2" i="6"/>
  <c r="H2" i="7"/>
  <c r="AB8" i="7"/>
  <c r="U15" i="5"/>
  <c r="Z2" i="6"/>
  <c r="AB13" i="6"/>
  <c r="S13" i="6"/>
  <c r="Y13" i="6"/>
  <c r="V13" i="6"/>
  <c r="T13" i="6"/>
  <c r="O13" i="6"/>
  <c r="N13" i="6"/>
  <c r="M13" i="6"/>
  <c r="O2" i="7"/>
  <c r="J7" i="7"/>
  <c r="O7" i="8"/>
  <c r="F13" i="8"/>
  <c r="AB14" i="8"/>
  <c r="D12" i="9"/>
  <c r="W14" i="9"/>
  <c r="Y14" i="14"/>
  <c r="S14" i="14"/>
  <c r="AB14" i="15"/>
  <c r="P12" i="11"/>
  <c r="M3" i="12"/>
  <c r="J3" i="12"/>
  <c r="G3" i="12"/>
  <c r="AB12" i="13"/>
  <c r="M12" i="13"/>
  <c r="I12" i="13"/>
  <c r="D12" i="13"/>
  <c r="N6" i="14"/>
  <c r="K8" i="15"/>
  <c r="Y7" i="13"/>
  <c r="S7" i="13"/>
  <c r="D7" i="13"/>
  <c r="X15" i="14"/>
  <c r="V15" i="14"/>
  <c r="L15" i="14"/>
  <c r="I15" i="14"/>
  <c r="G15" i="14"/>
  <c r="Z15" i="14"/>
  <c r="C15" i="14"/>
  <c r="X15" i="7"/>
  <c r="R15" i="7"/>
  <c r="Z15" i="7"/>
  <c r="P2" i="8"/>
  <c r="AA3" i="9"/>
  <c r="U2" i="10"/>
  <c r="J6" i="10"/>
  <c r="C6" i="10"/>
  <c r="AB12" i="10"/>
  <c r="Z12" i="10"/>
  <c r="O14" i="10"/>
  <c r="O15" i="10"/>
  <c r="AA6" i="11"/>
  <c r="U6" i="11"/>
  <c r="Q6" i="11"/>
  <c r="O6" i="11"/>
  <c r="K7" i="11"/>
  <c r="P8" i="11"/>
  <c r="N14" i="11"/>
  <c r="T3" i="12"/>
  <c r="C7" i="13"/>
  <c r="T12" i="13"/>
  <c r="M15" i="13"/>
  <c r="X6" i="14"/>
  <c r="D15" i="14"/>
  <c r="M17" i="14"/>
  <c r="Z8" i="15"/>
  <c r="M15" i="17"/>
  <c r="N15" i="17"/>
  <c r="H15" i="17"/>
  <c r="C15" i="17"/>
  <c r="AA15" i="9"/>
  <c r="M15" i="9"/>
  <c r="N3" i="14"/>
  <c r="C3" i="14"/>
  <c r="Z3" i="14"/>
  <c r="X3" i="14"/>
  <c r="T3" i="14"/>
  <c r="Z6" i="14"/>
  <c r="E15" i="14"/>
  <c r="X2" i="15"/>
  <c r="M2" i="15"/>
  <c r="AB2" i="15"/>
  <c r="C2" i="15"/>
  <c r="Y2" i="15"/>
  <c r="U2" i="15"/>
  <c r="P2" i="15"/>
  <c r="F15" i="17"/>
  <c r="Q2" i="8"/>
  <c r="P15" i="10"/>
  <c r="U3" i="12"/>
  <c r="E7" i="13"/>
  <c r="F13" i="5"/>
  <c r="X12" i="6"/>
  <c r="N12" i="6"/>
  <c r="R14" i="6"/>
  <c r="Q15" i="6"/>
  <c r="V12" i="7"/>
  <c r="D15" i="7"/>
  <c r="AB15" i="7"/>
  <c r="R2" i="8"/>
  <c r="K15" i="9"/>
  <c r="Z2" i="10"/>
  <c r="H6" i="10"/>
  <c r="AA12" i="10"/>
  <c r="Q14" i="10"/>
  <c r="Q15" i="10"/>
  <c r="E6" i="11"/>
  <c r="M7" i="11"/>
  <c r="Q14" i="11"/>
  <c r="Y3" i="12"/>
  <c r="F7" i="13"/>
  <c r="V12" i="13"/>
  <c r="O15" i="13"/>
  <c r="D3" i="14"/>
  <c r="F15" i="14"/>
  <c r="D2" i="15"/>
  <c r="D15" i="18"/>
  <c r="C15" i="18"/>
  <c r="AB15" i="18"/>
  <c r="AA15" i="18"/>
  <c r="Z15" i="18"/>
  <c r="Y15" i="18"/>
  <c r="X15" i="18"/>
  <c r="S15" i="18"/>
  <c r="M15" i="18"/>
  <c r="J15" i="18"/>
  <c r="E15" i="18"/>
  <c r="W13" i="13"/>
  <c r="F13" i="13"/>
  <c r="U13" i="13"/>
  <c r="R13" i="13"/>
  <c r="P13" i="13"/>
  <c r="J13" i="5"/>
  <c r="V15" i="6"/>
  <c r="H15" i="7"/>
  <c r="V2" i="8"/>
  <c r="V14" i="11"/>
  <c r="Y7" i="12"/>
  <c r="V7" i="12"/>
  <c r="P7" i="12"/>
  <c r="X15" i="12"/>
  <c r="H15" i="12"/>
  <c r="E15" i="12"/>
  <c r="AA15" i="12"/>
  <c r="C15" i="12"/>
  <c r="L7" i="13"/>
  <c r="G13" i="13"/>
  <c r="V15" i="13"/>
  <c r="I3" i="14"/>
  <c r="M15" i="14"/>
  <c r="H2" i="15"/>
  <c r="Y7" i="15"/>
  <c r="X12" i="17"/>
  <c r="O12" i="17"/>
  <c r="M12" i="17"/>
  <c r="I12" i="17"/>
  <c r="H12" i="17"/>
  <c r="E12" i="17"/>
  <c r="D12" i="17"/>
  <c r="AB12" i="17"/>
  <c r="Z12" i="17"/>
  <c r="W12" i="17"/>
  <c r="U12" i="17"/>
  <c r="S12" i="17"/>
  <c r="Q12" i="17"/>
  <c r="I7" i="13"/>
  <c r="L12" i="6"/>
  <c r="Y14" i="6"/>
  <c r="AB12" i="7"/>
  <c r="AA3" i="8"/>
  <c r="Y6" i="10"/>
  <c r="U14" i="10"/>
  <c r="V15" i="10"/>
  <c r="J6" i="11"/>
  <c r="S7" i="11"/>
  <c r="E12" i="11"/>
  <c r="L3" i="5"/>
  <c r="K13" i="5"/>
  <c r="O12" i="6"/>
  <c r="Z13" i="7"/>
  <c r="R13" i="7"/>
  <c r="I15" i="7"/>
  <c r="W2" i="8"/>
  <c r="AA6" i="10"/>
  <c r="V14" i="10"/>
  <c r="W15" i="10"/>
  <c r="K6" i="11"/>
  <c r="U7" i="11"/>
  <c r="F12" i="11"/>
  <c r="W14" i="11"/>
  <c r="D7" i="12"/>
  <c r="D15" i="12"/>
  <c r="M7" i="13"/>
  <c r="H13" i="13"/>
  <c r="Y15" i="13"/>
  <c r="J3" i="14"/>
  <c r="N15" i="14"/>
  <c r="I2" i="15"/>
  <c r="C12" i="17"/>
  <c r="G12" i="11"/>
  <c r="N7" i="13"/>
  <c r="K13" i="13"/>
  <c r="O15" i="14"/>
  <c r="U14" i="6"/>
  <c r="W14" i="6"/>
  <c r="Z15" i="10"/>
  <c r="X7" i="11"/>
  <c r="I12" i="11"/>
  <c r="AA14" i="11"/>
  <c r="R7" i="13"/>
  <c r="M13" i="13"/>
  <c r="L3" i="14"/>
  <c r="U6" i="14"/>
  <c r="O6" i="14"/>
  <c r="L6" i="14"/>
  <c r="J6" i="14"/>
  <c r="E6" i="14"/>
  <c r="F12" i="14"/>
  <c r="P15" i="14"/>
  <c r="K2" i="15"/>
  <c r="J8" i="15"/>
  <c r="F8" i="15"/>
  <c r="AA8" i="15"/>
  <c r="X8" i="15"/>
  <c r="T8" i="15"/>
  <c r="M8" i="15"/>
  <c r="I7" i="5"/>
  <c r="R13" i="5"/>
  <c r="X15" i="6"/>
  <c r="S15" i="6"/>
  <c r="Z15" i="6"/>
  <c r="K15" i="7"/>
  <c r="AA2" i="8"/>
  <c r="C14" i="6"/>
  <c r="C15" i="6"/>
  <c r="AA15" i="6"/>
  <c r="X3" i="7"/>
  <c r="U3" i="7"/>
  <c r="C12" i="7"/>
  <c r="L15" i="7"/>
  <c r="AB17" i="7"/>
  <c r="G17" i="7"/>
  <c r="J3" i="8"/>
  <c r="E3" i="8"/>
  <c r="Z14" i="10"/>
  <c r="AA15" i="10"/>
  <c r="R6" i="11"/>
  <c r="Z7" i="11"/>
  <c r="J12" i="11"/>
  <c r="G7" i="12"/>
  <c r="I15" i="12"/>
  <c r="U7" i="13"/>
  <c r="N13" i="13"/>
  <c r="M3" i="14"/>
  <c r="F6" i="14"/>
  <c r="AB13" i="14"/>
  <c r="E13" i="14"/>
  <c r="Q15" i="14"/>
  <c r="L2" i="15"/>
  <c r="C8" i="15"/>
  <c r="E6" i="17"/>
  <c r="C6" i="17"/>
  <c r="Q6" i="17"/>
  <c r="L6" i="17"/>
  <c r="J12" i="17"/>
  <c r="W2" i="10"/>
  <c r="Y2" i="10"/>
  <c r="V2" i="10"/>
  <c r="Y14" i="10"/>
  <c r="N7" i="5"/>
  <c r="X13" i="5"/>
  <c r="U7" i="5"/>
  <c r="Y13" i="5"/>
  <c r="T12" i="6"/>
  <c r="D14" i="6"/>
  <c r="D15" i="6"/>
  <c r="AB15" i="6"/>
  <c r="F3" i="7"/>
  <c r="E12" i="7"/>
  <c r="M15" i="7"/>
  <c r="C17" i="7"/>
  <c r="D2" i="10"/>
  <c r="T6" i="11"/>
  <c r="AA7" i="11"/>
  <c r="K12" i="11"/>
  <c r="I7" i="12"/>
  <c r="J15" i="12"/>
  <c r="AA3" i="13"/>
  <c r="W3" i="13"/>
  <c r="P3" i="13"/>
  <c r="W7" i="13"/>
  <c r="O13" i="13"/>
  <c r="Q2" i="14"/>
  <c r="M2" i="14"/>
  <c r="AA2" i="14"/>
  <c r="Y2" i="14"/>
  <c r="R2" i="14"/>
  <c r="P3" i="14"/>
  <c r="G6" i="14"/>
  <c r="G13" i="14"/>
  <c r="R15" i="14"/>
  <c r="N2" i="15"/>
  <c r="D8" i="15"/>
  <c r="G6" i="17"/>
  <c r="P12" i="17"/>
  <c r="O2" i="8"/>
  <c r="D2" i="8"/>
  <c r="X14" i="10"/>
  <c r="M14" i="10"/>
  <c r="J14" i="10"/>
  <c r="H14" i="10"/>
  <c r="AB14" i="10"/>
  <c r="L12" i="11"/>
  <c r="X7" i="13"/>
  <c r="Q13" i="13"/>
  <c r="X15" i="13"/>
  <c r="J15" i="13"/>
  <c r="W15" i="13"/>
  <c r="S15" i="13"/>
  <c r="Q15" i="13"/>
  <c r="S3" i="14"/>
  <c r="H6" i="14"/>
  <c r="S15" i="14"/>
  <c r="O2" i="15"/>
  <c r="X7" i="15"/>
  <c r="M7" i="15"/>
  <c r="J7" i="15"/>
  <c r="Z7" i="15"/>
  <c r="C7" i="15"/>
  <c r="V7" i="15"/>
  <c r="T7" i="15"/>
  <c r="P7" i="15"/>
  <c r="E8" i="15"/>
  <c r="R12" i="17"/>
  <c r="X15" i="10"/>
  <c r="I15" i="10"/>
  <c r="F15" i="10"/>
  <c r="D15" i="10"/>
  <c r="Q7" i="11"/>
  <c r="W7" i="11"/>
  <c r="T7" i="11"/>
  <c r="R7" i="11"/>
  <c r="AB8" i="11"/>
  <c r="X8" i="11"/>
  <c r="S8" i="11"/>
  <c r="M12" i="11"/>
  <c r="S14" i="11"/>
  <c r="P14" i="11"/>
  <c r="M14" i="11"/>
  <c r="K14" i="11"/>
  <c r="H12" i="12"/>
  <c r="Z7" i="13"/>
  <c r="S13" i="13"/>
  <c r="C15" i="13"/>
  <c r="U3" i="14"/>
  <c r="K6" i="14"/>
  <c r="T15" i="14"/>
  <c r="Q2" i="15"/>
  <c r="D7" i="15"/>
  <c r="G8" i="15"/>
  <c r="Y7" i="17"/>
  <c r="X7" i="17"/>
  <c r="V7" i="17"/>
  <c r="U7" i="17"/>
  <c r="R7" i="17"/>
  <c r="P7" i="17"/>
  <c r="J7" i="17"/>
  <c r="F7" i="17"/>
  <c r="D7" i="17"/>
  <c r="T12" i="17"/>
  <c r="AB8" i="18"/>
  <c r="Y12" i="18"/>
  <c r="W17" i="18"/>
  <c r="H2" i="19"/>
  <c r="K3" i="19"/>
  <c r="N6" i="19"/>
  <c r="M8" i="19"/>
  <c r="C12" i="19"/>
  <c r="K13" i="19"/>
  <c r="T14" i="19"/>
  <c r="K2" i="16"/>
  <c r="Z17" i="16"/>
  <c r="F2" i="18"/>
  <c r="K3" i="18"/>
  <c r="C8" i="18"/>
  <c r="Y17" i="18"/>
  <c r="M2" i="19"/>
  <c r="M3" i="19"/>
  <c r="O6" i="19"/>
  <c r="N8" i="19"/>
  <c r="E12" i="19"/>
  <c r="L13" i="19"/>
  <c r="U14" i="19"/>
  <c r="Q2" i="16"/>
  <c r="J2" i="18"/>
  <c r="N3" i="18"/>
  <c r="E8" i="18"/>
  <c r="AB17" i="18"/>
  <c r="O2" i="19"/>
  <c r="P3" i="19"/>
  <c r="W6" i="19"/>
  <c r="P8" i="19"/>
  <c r="G12" i="19"/>
  <c r="O13" i="19"/>
  <c r="AB14" i="19"/>
  <c r="P2" i="19"/>
  <c r="X8" i="9"/>
  <c r="P6" i="13"/>
  <c r="J7" i="14"/>
  <c r="W6" i="15"/>
  <c r="Z12" i="15"/>
  <c r="Z13" i="15"/>
  <c r="U2" i="16"/>
  <c r="F6" i="16"/>
  <c r="I7" i="16"/>
  <c r="J14" i="16"/>
  <c r="H8" i="17"/>
  <c r="L17" i="17"/>
  <c r="L2" i="18"/>
  <c r="Q3" i="18"/>
  <c r="I6" i="18"/>
  <c r="G8" i="18"/>
  <c r="H13" i="18"/>
  <c r="C17" i="18"/>
  <c r="R2" i="19"/>
  <c r="R3" i="19"/>
  <c r="C7" i="19"/>
  <c r="R8" i="19"/>
  <c r="I12" i="19"/>
  <c r="Q13" i="19"/>
  <c r="C15" i="19"/>
  <c r="AA6" i="13"/>
  <c r="L7" i="14"/>
  <c r="AB13" i="15"/>
  <c r="X2" i="16"/>
  <c r="H6" i="16"/>
  <c r="L7" i="16"/>
  <c r="N8" i="17"/>
  <c r="O17" i="17"/>
  <c r="N2" i="18"/>
  <c r="S3" i="18"/>
  <c r="K6" i="18"/>
  <c r="K8" i="18"/>
  <c r="E17" i="18"/>
  <c r="U2" i="19"/>
  <c r="T3" i="19"/>
  <c r="G7" i="19"/>
  <c r="T8" i="19"/>
  <c r="L12" i="19"/>
  <c r="V13" i="19"/>
  <c r="F15" i="19"/>
  <c r="G17" i="18"/>
  <c r="V2" i="19"/>
  <c r="U3" i="19"/>
  <c r="H7" i="19"/>
  <c r="V8" i="19"/>
  <c r="P12" i="19"/>
  <c r="W13" i="19"/>
  <c r="G15" i="19"/>
  <c r="N8" i="18"/>
  <c r="H14" i="18"/>
  <c r="I17" i="18"/>
  <c r="W2" i="19"/>
  <c r="L7" i="19"/>
  <c r="G17" i="9"/>
  <c r="O7" i="14"/>
  <c r="G12" i="15"/>
  <c r="E13" i="15"/>
  <c r="K6" i="16"/>
  <c r="P7" i="16"/>
  <c r="Q8" i="17"/>
  <c r="U17" i="17"/>
  <c r="R2" i="18"/>
  <c r="Y3" i="18"/>
  <c r="Q6" i="18"/>
  <c r="O8" i="18"/>
  <c r="L14" i="18"/>
  <c r="J17" i="18"/>
  <c r="X2" i="19"/>
  <c r="W3" i="19"/>
  <c r="M7" i="19"/>
  <c r="Y8" i="19"/>
  <c r="R12" i="19"/>
  <c r="Z13" i="19"/>
  <c r="L15" i="19"/>
  <c r="C17" i="19"/>
  <c r="W17" i="17"/>
  <c r="S2" i="18"/>
  <c r="W6" i="18"/>
  <c r="P8" i="18"/>
  <c r="Q14" i="18"/>
  <c r="L17" i="18"/>
  <c r="Z2" i="19"/>
  <c r="Y3" i="19"/>
  <c r="R7" i="19"/>
  <c r="Z8" i="19"/>
  <c r="T12" i="19"/>
  <c r="AA13" i="19"/>
  <c r="M15" i="19"/>
  <c r="E17" i="19"/>
  <c r="O15" i="19"/>
  <c r="F17" i="19"/>
  <c r="D13" i="17"/>
  <c r="R8" i="18"/>
  <c r="U14" i="18"/>
  <c r="N17" i="18"/>
  <c r="AA3" i="19"/>
  <c r="AB8" i="19"/>
  <c r="V12" i="19"/>
  <c r="F14" i="19"/>
  <c r="P15" i="19"/>
  <c r="G17" i="19"/>
  <c r="O6" i="16"/>
  <c r="U7" i="16"/>
  <c r="C17" i="16"/>
  <c r="U8" i="17"/>
  <c r="N13" i="17"/>
  <c r="X2" i="18"/>
  <c r="S8" i="18"/>
  <c r="V14" i="18"/>
  <c r="O17" i="18"/>
  <c r="C3" i="19"/>
  <c r="AB3" i="19"/>
  <c r="C8" i="19"/>
  <c r="Y12" i="19"/>
  <c r="G14" i="19"/>
  <c r="Q15" i="19"/>
  <c r="M17" i="19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X17" i="15"/>
  <c r="T6" i="16"/>
  <c r="H17" i="16"/>
  <c r="S13" i="17"/>
  <c r="D7" i="18"/>
  <c r="V8" i="18"/>
  <c r="AA14" i="18"/>
  <c r="R17" i="18"/>
  <c r="F3" i="19"/>
  <c r="D6" i="19"/>
  <c r="K14" i="19"/>
  <c r="AA15" i="19"/>
  <c r="R17" i="19"/>
  <c r="J17" i="16"/>
  <c r="AA8" i="17"/>
  <c r="U13" i="17"/>
  <c r="D3" i="18"/>
  <c r="G7" i="18"/>
  <c r="W8" i="18"/>
  <c r="S17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Q12" i="15"/>
  <c r="J13" i="16"/>
  <c r="U17" i="16"/>
  <c r="X13" i="17"/>
  <c r="H3" i="18"/>
  <c r="AA7" i="18"/>
  <c r="Y8" i="18"/>
  <c r="U17" i="18"/>
  <c r="C2" i="19"/>
  <c r="I3" i="19"/>
  <c r="H6" i="19"/>
  <c r="J8" i="19"/>
  <c r="E13" i="19"/>
  <c r="Q14" i="19"/>
  <c r="AA17" i="19"/>
  <c r="I3" i="18"/>
  <c r="V17" i="18"/>
  <c r="F2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<sst xmlns="http://schemas.openxmlformats.org/spreadsheetml/2006/main" count="3113" uniqueCount="587">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</sst>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154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SC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1.8526788206612955E-2</v>
      </c>
      <c r="C2" s="7">
        <f>$B2 * IFERROR(VLOOKUP("transport|PM25|Premature mortality", US_national_yearly!$D:$AM, 11, FALSE) / VLOOKUP("transport|PM25|Premature mortality", US_national_yearly!$D:$AM, 10, FALSE), 1)</f>
        <v>1.8756479779175494E-2</v>
      </c>
      <c r="D2" s="7">
        <f>$B2 * IFERROR(VLOOKUP("transport|PM25|Premature mortality", US_national_yearly!$D:$AM, 12, FALSE) / VLOOKUP("transport|PM25|Premature mortality", US_national_yearly!$D:$AM, 10, FALSE), 1)</f>
        <v>1.8986171351738031E-2</v>
      </c>
      <c r="E2" s="7">
        <f>$B2 * IFERROR(VLOOKUP("transport|PM25|Premature mortality", US_national_yearly!$D:$AM, 13, FALSE) / VLOOKUP("transport|PM25|Premature mortality", US_national_yearly!$D:$AM, 10, FALSE), 1)</f>
        <v>1.9215862924300567E-2</v>
      </c>
      <c r="F2" s="7">
        <f>$B2 * IFERROR(VLOOKUP("transport|PM25|Premature mortality", US_national_yearly!$D:$AM, 14, FALSE) / VLOOKUP("transport|PM25|Premature mortality", US_national_yearly!$D:$AM, 10, FALSE), 1)</f>
        <v>1.94455544968631E-2</v>
      </c>
      <c r="G2" s="7">
        <f>$B2 * IFERROR(VLOOKUP("transport|PM25|Premature mortality", US_national_yearly!$D:$AM, 15, FALSE) / VLOOKUP("transport|PM25|Premature mortality", US_national_yearly!$D:$AM, 10, FALSE), 1)</f>
        <v>1.9892877102135807E-2</v>
      </c>
      <c r="H2" s="7">
        <f>$B2 * IFERROR(VLOOKUP("transport|PM25|Premature mortality", US_national_yearly!$D:$AM, 16, FALSE) / VLOOKUP("transport|PM25|Premature mortality", US_national_yearly!$D:$AM, 10, FALSE), 1)</f>
        <v>2.0340199707408513E-2</v>
      </c>
      <c r="I2" s="7">
        <f>$B2 * IFERROR(VLOOKUP("transport|PM25|Premature mortality", US_national_yearly!$D:$AM, 17, FALSE) / VLOOKUP("transport|PM25|Premature mortality", US_national_yearly!$D:$AM, 10, FALSE), 1)</f>
        <v>2.0634020024657279E-2</v>
      </c>
      <c r="J2" s="7">
        <f>$B2 * IFERROR(VLOOKUP("transport|PM25|Premature mortality", US_national_yearly!$D:$AM, 18, FALSE) / VLOOKUP("transport|PM25|Premature mortality", US_national_yearly!$D:$AM, 10, FALSE), 1)</f>
        <v>2.0927840341906052E-2</v>
      </c>
      <c r="K2" s="7">
        <f>$B2 * IFERROR(VLOOKUP("transport|PM25|Premature mortality", US_national_yearly!$D:$AM, 19, FALSE) / VLOOKUP("transport|PM25|Premature mortality", US_national_yearly!$D:$AM, 10, FALSE), 1)</f>
        <v>2.1221660659154817E-2</v>
      </c>
      <c r="L2" s="7">
        <f>$B2 * IFERROR(VLOOKUP("transport|PM25|Premature mortality", US_national_yearly!$D:$AM, 20, FALSE) / VLOOKUP("transport|PM25|Premature mortality", US_national_yearly!$D:$AM, 10, FALSE), 1)</f>
        <v>2.151548097640359E-2</v>
      </c>
      <c r="M2" s="7">
        <f>$B2 * IFERROR(VLOOKUP("transport|PM25|Premature mortality", US_national_yearly!$D:$AM, 21, FALSE) / VLOOKUP("transport|PM25|Premature mortality", US_national_yearly!$D:$AM, 10, FALSE), 1)</f>
        <v>2.1809301293652359E-2</v>
      </c>
      <c r="N2" s="7">
        <f>$B2 * IFERROR(VLOOKUP("transport|PM25|Premature mortality", US_national_yearly!$D:$AM, 22, FALSE) / VLOOKUP("transport|PM25|Premature mortality", US_national_yearly!$D:$AM, 10, FALSE), 1)</f>
        <v>2.2037434070084176E-2</v>
      </c>
      <c r="O2" s="7">
        <f>$B2 * IFERROR(VLOOKUP("transport|PM25|Premature mortality", US_national_yearly!$D:$AM, 23, FALSE) / VLOOKUP("transport|PM25|Premature mortality", US_national_yearly!$D:$AM, 10, FALSE), 1)</f>
        <v>2.2265566846515997E-2</v>
      </c>
      <c r="P2" s="7">
        <f>$B2 * IFERROR(VLOOKUP("transport|PM25|Premature mortality", US_national_yearly!$D:$AM, 24, FALSE) / VLOOKUP("transport|PM25|Premature mortality", US_national_yearly!$D:$AM, 10, FALSE), 1)</f>
        <v>2.2493699622947814E-2</v>
      </c>
      <c r="Q2" s="7">
        <f>$B2 * IFERROR(VLOOKUP("transport|PM25|Premature mortality", US_national_yearly!$D:$AM, 25, FALSE) / VLOOKUP("transport|PM25|Premature mortality", US_national_yearly!$D:$AM, 10, FALSE), 1)</f>
        <v>2.2721832399379634E-2</v>
      </c>
      <c r="R2" s="7">
        <f>$B2 * IFERROR(VLOOKUP("transport|PM25|Premature mortality", US_national_yearly!$D:$AM, 26, FALSE) / VLOOKUP("transport|PM25|Premature mortality", US_national_yearly!$D:$AM, 10, FALSE), 1)</f>
        <v>2.2949965175811455E-2</v>
      </c>
      <c r="S2" s="7">
        <f>$B2 * IFERROR(VLOOKUP("transport|PM25|Premature mortality", US_national_yearly!$D:$AM, 27, FALSE) / VLOOKUP("transport|PM25|Premature mortality", US_national_yearly!$D:$AM, 10, FALSE), 1)</f>
        <v>2.3070823142714327E-2</v>
      </c>
      <c r="T2" s="7">
        <f>$B2 * IFERROR(VLOOKUP("transport|PM25|Premature mortality", US_national_yearly!$D:$AM, 28, FALSE) / VLOOKUP("transport|PM25|Premature mortality", US_national_yearly!$D:$AM, 10, FALSE), 1)</f>
        <v>2.3191681109617199E-2</v>
      </c>
      <c r="U2" s="7">
        <f>$B2 * IFERROR(VLOOKUP("transport|PM25|Premature mortality", US_national_yearly!$D:$AM, 29, FALSE) / VLOOKUP("transport|PM25|Premature mortality", US_national_yearly!$D:$AM, 10, FALSE), 1)</f>
        <v>2.3312539076520068E-2</v>
      </c>
      <c r="V2" s="7">
        <f>$B2 * IFERROR(VLOOKUP("transport|PM25|Premature mortality", US_national_yearly!$D:$AM, 30, FALSE) / VLOOKUP("transport|PM25|Premature mortality", US_national_yearly!$D:$AM, 10, FALSE), 1)</f>
        <v>2.3433397043422937E-2</v>
      </c>
      <c r="W2" s="7">
        <f>$B2 * IFERROR(VLOOKUP("transport|PM25|Premature mortality", US_national_yearly!$D:$AM, 31, FALSE) / VLOOKUP("transport|PM25|Premature mortality", US_national_yearly!$D:$AM, 10, FALSE), 1)</f>
        <v>2.3554255010325806E-2</v>
      </c>
      <c r="X2" s="7">
        <f>$B2 * IFERROR(VLOOKUP("transport|PM25|Premature mortality", US_national_yearly!$D:$AM, 32, FALSE) / VLOOKUP("transport|PM25|Premature mortality", US_national_yearly!$D:$AM, 10, FALSE), 1)</f>
        <v>2.3575387960739911E-2</v>
      </c>
      <c r="Y2" s="7">
        <f>$B2 * IFERROR(VLOOKUP("transport|PM25|Premature mortality", US_national_yearly!$D:$AM, 33, FALSE) / VLOOKUP("transport|PM25|Premature mortality", US_national_yearly!$D:$AM, 10, FALSE), 1)</f>
        <v>2.359652091115402E-2</v>
      </c>
      <c r="Z2" s="7">
        <f>$B2 * IFERROR(VLOOKUP("transport|PM25|Premature mortality", US_national_yearly!$D:$AM, 34, FALSE) / VLOOKUP("transport|PM25|Premature mortality", US_national_yearly!$D:$AM, 10, FALSE), 1)</f>
        <v>2.3617653861568128E-2</v>
      </c>
      <c r="AA2" s="7">
        <f>$B2 * IFERROR(VLOOKUP("transport|PM25|Premature mortality", US_national_yearly!$D:$AM, 35, FALSE) / VLOOKUP("transport|PM25|Premature mortality", US_national_yearly!$D:$AM, 10, FALSE), 1)</f>
        <v>2.3638786811982237E-2</v>
      </c>
      <c r="AB2" s="7">
        <f>$B2 * IFERROR(VLOOKUP("transport|PM25|Premature mortality", US_national_yearly!$D:$AM, 36, FALSE) / VLOOKUP("transport|PM25|Premature mortality", US_national_yearly!$D:$AM, 10, FALSE), 1)</f>
        <v>2.3659919762396342E-2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4.2234666238238361E-5</v>
      </c>
      <c r="C3" s="7">
        <f>$B3 * IFERROR(VLOOKUP("transport|PM25|Infant mortality", US_national_yearly!$D:$AM, 11, FALSE) / VLOOKUP("transport|PM25|Infant mortality", US_national_yearly!$D:$AM, 10, FALSE), 1)</f>
        <v>4.1866418488048565E-5</v>
      </c>
      <c r="D3" s="7">
        <f>$B3 * IFERROR(VLOOKUP("transport|PM25|Infant mortality", US_national_yearly!$D:$AM, 12, FALSE) / VLOOKUP("transport|PM25|Infant mortality", US_national_yearly!$D:$AM, 10, FALSE), 1)</f>
        <v>4.1498170737858769E-5</v>
      </c>
      <c r="E3" s="7">
        <f>$B3 * IFERROR(VLOOKUP("transport|PM25|Infant mortality", US_national_yearly!$D:$AM, 13, FALSE) / VLOOKUP("transport|PM25|Infant mortality", US_national_yearly!$D:$AM, 10, FALSE), 1)</f>
        <v>4.1129922987668973E-5</v>
      </c>
      <c r="F3" s="7">
        <f>$B3 * IFERROR(VLOOKUP("transport|PM25|Infant mortality", US_national_yearly!$D:$AM, 14, FALSE) / VLOOKUP("transport|PM25|Infant mortality", US_national_yearly!$D:$AM, 10, FALSE), 1)</f>
        <v>4.076167523747917E-5</v>
      </c>
      <c r="G3" s="7">
        <f>$B3 * IFERROR(VLOOKUP("transport|PM25|Infant mortality", US_national_yearly!$D:$AM, 15, FALSE) / VLOOKUP("transport|PM25|Infant mortality", US_national_yearly!$D:$AM, 10, FALSE), 1)</f>
        <v>2.7108694454665362E-5</v>
      </c>
      <c r="H3" s="7">
        <f>$B3 * IFERROR(VLOOKUP("transport|PM25|Infant mortality", US_national_yearly!$D:$AM, 16, FALSE) / VLOOKUP("transport|PM25|Infant mortality", US_national_yearly!$D:$AM, 10, FALSE), 1)</f>
        <v>1.3455713671851541E-5</v>
      </c>
      <c r="I3" s="7">
        <f>$B3 * IFERROR(VLOOKUP("transport|PM25|Infant mortality", US_national_yearly!$D:$AM, 17, FALSE) / VLOOKUP("transport|PM25|Infant mortality", US_national_yearly!$D:$AM, 10, FALSE), 1)</f>
        <v>1.3367758356149198E-5</v>
      </c>
      <c r="J3" s="7">
        <f>$B3 * IFERROR(VLOOKUP("transport|PM25|Infant mortality", US_national_yearly!$D:$AM, 18, FALSE) / VLOOKUP("transport|PM25|Infant mortality", US_national_yearly!$D:$AM, 10, FALSE), 1)</f>
        <v>1.3279803040446853E-5</v>
      </c>
      <c r="K3" s="7">
        <f>$B3 * IFERROR(VLOOKUP("transport|PM25|Infant mortality", US_national_yearly!$D:$AM, 19, FALSE) / VLOOKUP("transport|PM25|Infant mortality", US_national_yearly!$D:$AM, 10, FALSE), 1)</f>
        <v>1.3191847724744507E-5</v>
      </c>
      <c r="L3" s="7">
        <f>$B3 * IFERROR(VLOOKUP("transport|PM25|Infant mortality", US_national_yearly!$D:$AM, 20, FALSE) / VLOOKUP("transport|PM25|Infant mortality", US_national_yearly!$D:$AM, 10, FALSE), 1)</f>
        <v>1.3103892409042164E-5</v>
      </c>
      <c r="M3" s="7">
        <f>$B3 * IFERROR(VLOOKUP("transport|PM25|Infant mortality", US_national_yearly!$D:$AM, 21, FALSE) / VLOOKUP("transport|PM25|Infant mortality", US_national_yearly!$D:$AM, 10, FALSE), 1)</f>
        <v>1.3015937093339822E-5</v>
      </c>
      <c r="N3" s="7">
        <f>$B3 * IFERROR(VLOOKUP("transport|PM25|Infant mortality", US_national_yearly!$D:$AM, 22, FALSE) / VLOOKUP("transport|PM25|Infant mortality", US_national_yearly!$D:$AM, 10, FALSE), 1)</f>
        <v>1.2960691417474282E-5</v>
      </c>
      <c r="O3" s="7">
        <f>$B3 * IFERROR(VLOOKUP("transport|PM25|Infant mortality", US_national_yearly!$D:$AM, 23, FALSE) / VLOOKUP("transport|PM25|Infant mortality", US_national_yearly!$D:$AM, 10, FALSE), 1)</f>
        <v>1.2905445741608746E-5</v>
      </c>
      <c r="P3" s="7">
        <f>$B3 * IFERROR(VLOOKUP("transport|PM25|Infant mortality", US_national_yearly!$D:$AM, 24, FALSE) / VLOOKUP("transport|PM25|Infant mortality", US_national_yearly!$D:$AM, 10, FALSE), 1)</f>
        <v>1.2850200065743205E-5</v>
      </c>
      <c r="Q3" s="7">
        <f>$B3 * IFERROR(VLOOKUP("transport|PM25|Infant mortality", US_national_yearly!$D:$AM, 25, FALSE) / VLOOKUP("transport|PM25|Infant mortality", US_national_yearly!$D:$AM, 10, FALSE), 1)</f>
        <v>1.2794954389877669E-5</v>
      </c>
      <c r="R3" s="7">
        <f>$B3 * IFERROR(VLOOKUP("transport|PM25|Infant mortality", US_national_yearly!$D:$AM, 26, FALSE) / VLOOKUP("transport|PM25|Infant mortality", US_national_yearly!$D:$AM, 10, FALSE), 1)</f>
        <v>1.2739708714012131E-5</v>
      </c>
      <c r="S3" s="7">
        <f>$B3 * IFERROR(VLOOKUP("transport|PM25|Infant mortality", US_national_yearly!$D:$AM, 27, FALSE) / VLOOKUP("transport|PM25|Infant mortality", US_national_yearly!$D:$AM, 10, FALSE), 1)</f>
        <v>1.2670843849459576E-5</v>
      </c>
      <c r="T3" s="7">
        <f>$B3 * IFERROR(VLOOKUP("transport|PM25|Infant mortality", US_national_yearly!$D:$AM, 28, FALSE) / VLOOKUP("transport|PM25|Infant mortality", US_national_yearly!$D:$AM, 10, FALSE), 1)</f>
        <v>1.2601978984907021E-5</v>
      </c>
      <c r="U3" s="7">
        <f>$B3 * IFERROR(VLOOKUP("transport|PM25|Infant mortality", US_national_yearly!$D:$AM, 29, FALSE) / VLOOKUP("transport|PM25|Infant mortality", US_national_yearly!$D:$AM, 10, FALSE), 1)</f>
        <v>1.2533114120354466E-5</v>
      </c>
      <c r="V3" s="7">
        <f>$B3 * IFERROR(VLOOKUP("transport|PM25|Infant mortality", US_national_yearly!$D:$AM, 30, FALSE) / VLOOKUP("transport|PM25|Infant mortality", US_national_yearly!$D:$AM, 10, FALSE), 1)</f>
        <v>1.2464249255801913E-5</v>
      </c>
      <c r="W3" s="7">
        <f>$B3 * IFERROR(VLOOKUP("transport|PM25|Infant mortality", US_national_yearly!$D:$AM, 31, FALSE) / VLOOKUP("transport|PM25|Infant mortality", US_national_yearly!$D:$AM, 10, FALSE), 1)</f>
        <v>1.2395384391249356E-5</v>
      </c>
      <c r="X3" s="7">
        <f>$B3 * IFERROR(VLOOKUP("transport|PM25|Infant mortality", US_national_yearly!$D:$AM, 32, FALSE) / VLOOKUP("transport|PM25|Infant mortality", US_national_yearly!$D:$AM, 10, FALSE), 1)</f>
        <v>1.2321139411856286E-5</v>
      </c>
      <c r="Y3" s="7">
        <f>$B3 * IFERROR(VLOOKUP("transport|PM25|Infant mortality", US_national_yearly!$D:$AM, 33, FALSE) / VLOOKUP("transport|PM25|Infant mortality", US_national_yearly!$D:$AM, 10, FALSE), 1)</f>
        <v>1.224689443246321E-5</v>
      </c>
      <c r="Z3" s="7">
        <f>$B3 * IFERROR(VLOOKUP("transport|PM25|Infant mortality", US_national_yearly!$D:$AM, 34, FALSE) / VLOOKUP("transport|PM25|Infant mortality", US_national_yearly!$D:$AM, 10, FALSE), 1)</f>
        <v>1.2172649453070139E-5</v>
      </c>
      <c r="AA3" s="7">
        <f>$B3 * IFERROR(VLOOKUP("transport|PM25|Infant mortality", US_national_yearly!$D:$AM, 35, FALSE) / VLOOKUP("transport|PM25|Infant mortality", US_national_yearly!$D:$AM, 10, FALSE), 1)</f>
        <v>1.2098404473677065E-5</v>
      </c>
      <c r="AB3" s="7">
        <f>$B3 * IFERROR(VLOOKUP("transport|PM25|Infant mortality", US_national_yearly!$D:$AM, 36, FALSE) / VLOOKUP("transport|PM25|Infant mortality", US_national_yearly!$D:$AM, 10, FALSE), 1)</f>
        <v>1.2024159494283995E-5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4.0260427724806327E-2</v>
      </c>
      <c r="C6" s="7">
        <f>$B6 * IFERROR(VLOOKUP("transport|PM25|Asthma symptoms cough", US_national_yearly!$D:$AM, 11, FALSE) / VLOOKUP("transport|PM25|Asthma symptoms cough", US_national_yearly!$D:$AM, 10, FALSE), 1)</f>
        <v>4.0260427724806327E-2</v>
      </c>
      <c r="D6" s="7">
        <f>$B6 * IFERROR(VLOOKUP("transport|PM25|Asthma symptoms cough", US_national_yearly!$D:$AM, 12, FALSE) / VLOOKUP("transport|PM25|Asthma symptoms cough", US_national_yearly!$D:$AM, 10, FALSE), 1)</f>
        <v>4.0260427724806327E-2</v>
      </c>
      <c r="E6" s="7">
        <f>$B6 * IFERROR(VLOOKUP("transport|PM25|Asthma symptoms cough", US_national_yearly!$D:$AM, 13, FALSE) / VLOOKUP("transport|PM25|Asthma symptoms cough", US_national_yearly!$D:$AM, 10, FALSE), 1)</f>
        <v>4.0260427724806327E-2</v>
      </c>
      <c r="F6" s="7">
        <f>$B6 * IFERROR(VLOOKUP("transport|PM25|Asthma symptoms cough", US_national_yearly!$D:$AM, 14, FALSE) / VLOOKUP("transport|PM25|Asthma symptoms cough", US_national_yearly!$D:$AM, 10, FALSE), 1)</f>
        <v>4.0260427724806327E-2</v>
      </c>
      <c r="G6" s="7">
        <f>$B6 * IFERROR(VLOOKUP("transport|PM25|Asthma symptoms cough", US_national_yearly!$D:$AM, 15, FALSE) / VLOOKUP("transport|PM25|Asthma symptoms cough", US_national_yearly!$D:$AM, 10, FALSE), 1)</f>
        <v>4.0260427724806327E-2</v>
      </c>
      <c r="H6" s="7">
        <f>$B6 * IFERROR(VLOOKUP("transport|PM25|Asthma symptoms cough", US_national_yearly!$D:$AM, 16, FALSE) / VLOOKUP("transport|PM25|Asthma symptoms cough", US_national_yearly!$D:$AM, 10, FALSE), 1)</f>
        <v>4.0260427724806327E-2</v>
      </c>
      <c r="I6" s="7">
        <f>$B6 * IFERROR(VLOOKUP("transport|PM25|Asthma symptoms cough", US_national_yearly!$D:$AM, 17, FALSE) / VLOOKUP("transport|PM25|Asthma symptoms cough", US_national_yearly!$D:$AM, 10, FALSE), 1)</f>
        <v>4.0260427724806327E-2</v>
      </c>
      <c r="J6" s="7">
        <f>$B6 * IFERROR(VLOOKUP("transport|PM25|Asthma symptoms cough", US_national_yearly!$D:$AM, 18, FALSE) / VLOOKUP("transport|PM25|Asthma symptoms cough", US_national_yearly!$D:$AM, 10, FALSE), 1)</f>
        <v>4.0260427724806327E-2</v>
      </c>
      <c r="K6" s="7">
        <f>$B6 * IFERROR(VLOOKUP("transport|PM25|Asthma symptoms cough", US_national_yearly!$D:$AM, 19, FALSE) / VLOOKUP("transport|PM25|Asthma symptoms cough", US_national_yearly!$D:$AM, 10, FALSE), 1)</f>
        <v>4.0260427724806327E-2</v>
      </c>
      <c r="L6" s="7">
        <f>$B6 * IFERROR(VLOOKUP("transport|PM25|Asthma symptoms cough", US_national_yearly!$D:$AM, 20, FALSE) / VLOOKUP("transport|PM25|Asthma symptoms cough", US_national_yearly!$D:$AM, 10, FALSE), 1)</f>
        <v>4.0260427724806327E-2</v>
      </c>
      <c r="M6" s="7">
        <f>$B6 * IFERROR(VLOOKUP("transport|PM25|Asthma symptoms cough", US_national_yearly!$D:$AM, 21, FALSE) / VLOOKUP("transport|PM25|Asthma symptoms cough", US_national_yearly!$D:$AM, 10, FALSE), 1)</f>
        <v>4.0260427724806327E-2</v>
      </c>
      <c r="N6" s="7">
        <f>$B6 * IFERROR(VLOOKUP("transport|PM25|Asthma symptoms cough", US_national_yearly!$D:$AM, 22, FALSE) / VLOOKUP("transport|PM25|Asthma symptoms cough", US_national_yearly!$D:$AM, 10, FALSE), 1)</f>
        <v>4.0260427724806327E-2</v>
      </c>
      <c r="O6" s="7">
        <f>$B6 * IFERROR(VLOOKUP("transport|PM25|Asthma symptoms cough", US_national_yearly!$D:$AM, 23, FALSE) / VLOOKUP("transport|PM25|Asthma symptoms cough", US_national_yearly!$D:$AM, 10, FALSE), 1)</f>
        <v>4.0260427724806327E-2</v>
      </c>
      <c r="P6" s="7">
        <f>$B6 * IFERROR(VLOOKUP("transport|PM25|Asthma symptoms cough", US_national_yearly!$D:$AM, 24, FALSE) / VLOOKUP("transport|PM25|Asthma symptoms cough", US_national_yearly!$D:$AM, 10, FALSE), 1)</f>
        <v>4.0260427724806327E-2</v>
      </c>
      <c r="Q6" s="7">
        <f>$B6 * IFERROR(VLOOKUP("transport|PM25|Asthma symptoms cough", US_national_yearly!$D:$AM, 25, FALSE) / VLOOKUP("transport|PM25|Asthma symptoms cough", US_national_yearly!$D:$AM, 10, FALSE), 1)</f>
        <v>4.0260427724806327E-2</v>
      </c>
      <c r="R6" s="7">
        <f>$B6 * IFERROR(VLOOKUP("transport|PM25|Asthma symptoms cough", US_national_yearly!$D:$AM, 26, FALSE) / VLOOKUP("transport|PM25|Asthma symptoms cough", US_national_yearly!$D:$AM, 10, FALSE), 1)</f>
        <v>4.0260427724806327E-2</v>
      </c>
      <c r="S6" s="7">
        <f>$B6 * IFERROR(VLOOKUP("transport|PM25|Asthma symptoms cough", US_national_yearly!$D:$AM, 27, FALSE) / VLOOKUP("transport|PM25|Asthma symptoms cough", US_national_yearly!$D:$AM, 10, FALSE), 1)</f>
        <v>4.0260427724806327E-2</v>
      </c>
      <c r="T6" s="7">
        <f>$B6 * IFERROR(VLOOKUP("transport|PM25|Asthma symptoms cough", US_national_yearly!$D:$AM, 28, FALSE) / VLOOKUP("transport|PM25|Asthma symptoms cough", US_national_yearly!$D:$AM, 10, FALSE), 1)</f>
        <v>4.0260427724806327E-2</v>
      </c>
      <c r="U6" s="7">
        <f>$B6 * IFERROR(VLOOKUP("transport|PM25|Asthma symptoms cough", US_national_yearly!$D:$AM, 29, FALSE) / VLOOKUP("transport|PM25|Asthma symptoms cough", US_national_yearly!$D:$AM, 10, FALSE), 1)</f>
        <v>4.0260427724806327E-2</v>
      </c>
      <c r="V6" s="7">
        <f>$B6 * IFERROR(VLOOKUP("transport|PM25|Asthma symptoms cough", US_national_yearly!$D:$AM, 30, FALSE) / VLOOKUP("transport|PM25|Asthma symptoms cough", US_national_yearly!$D:$AM, 10, FALSE), 1)</f>
        <v>4.0260427724806327E-2</v>
      </c>
      <c r="W6" s="7">
        <f>$B6 * IFERROR(VLOOKUP("transport|PM25|Asthma symptoms cough", US_national_yearly!$D:$AM, 31, FALSE) / VLOOKUP("transport|PM25|Asthma symptoms cough", US_national_yearly!$D:$AM, 10, FALSE), 1)</f>
        <v>4.0260427724806327E-2</v>
      </c>
      <c r="X6" s="7">
        <f>$B6 * IFERROR(VLOOKUP("transport|PM25|Asthma symptoms cough", US_national_yearly!$D:$AM, 32, FALSE) / VLOOKUP("transport|PM25|Asthma symptoms cough", US_national_yearly!$D:$AM, 10, FALSE), 1)</f>
        <v>4.0260427724806327E-2</v>
      </c>
      <c r="Y6" s="7">
        <f>$B6 * IFERROR(VLOOKUP("transport|PM25|Asthma symptoms cough", US_national_yearly!$D:$AM, 33, FALSE) / VLOOKUP("transport|PM25|Asthma symptoms cough", US_national_yearly!$D:$AM, 10, FALSE), 1)</f>
        <v>4.0260427724806327E-2</v>
      </c>
      <c r="Z6" s="7">
        <f>$B6 * IFERROR(VLOOKUP("transport|PM25|Asthma symptoms cough", US_national_yearly!$D:$AM, 34, FALSE) / VLOOKUP("transport|PM25|Asthma symptoms cough", US_national_yearly!$D:$AM, 10, FALSE), 1)</f>
        <v>4.0260427724806327E-2</v>
      </c>
      <c r="AA6" s="7">
        <f>$B6 * IFERROR(VLOOKUP("transport|PM25|Asthma symptoms cough", US_national_yearly!$D:$AM, 35, FALSE) / VLOOKUP("transport|PM25|Asthma symptoms cough", US_national_yearly!$D:$AM, 10, FALSE), 1)</f>
        <v>4.0260427724806327E-2</v>
      </c>
      <c r="AB6" s="7">
        <f>$B6 * IFERROR(VLOOKUP("transport|PM25|Asthma symptoms cough", US_national_yearly!$D:$AM, 36, FALSE) / VLOOKUP("transport|PM25|Asthma symptoms cough", US_national_yearly!$D:$AM, 10, FALSE), 1)</f>
        <v>4.0260427724806327E-2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5.4215930527828575E-2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5.4215930527828575E-2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5.4215930527828575E-2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5.4215930527828575E-2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5.4215930527828575E-2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5.4215930527828575E-2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5.4215930527828575E-2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5.4215930527828575E-2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5.4215930527828575E-2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5.4215930527828575E-2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5.4215930527828575E-2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5.4215930527828575E-2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5.4215930527828575E-2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5.4215930527828575E-2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5.4215930527828575E-2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5.4215930527828575E-2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5.4215930527828575E-2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5.4215930527828575E-2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5.4215930527828575E-2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5.4215930527828575E-2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5.4215930527828575E-2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5.4215930527828575E-2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5.4215930527828575E-2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5.4215930527828575E-2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5.4215930527828575E-2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5.4215930527828575E-2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5.4215930527828575E-2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8.2834812735679914E-2</v>
      </c>
      <c r="C8" s="7">
        <f>$B8 * IFERROR(VLOOKUP("transport|PM25|Asthma symptoms wheeze", US_national_yearly!$D:$AM, 11, FALSE) / VLOOKUP("transport|PM25|Asthma symptoms wheeze", US_national_yearly!$D:$AM, 10, FALSE), 1)</f>
        <v>8.2834812735679914E-2</v>
      </c>
      <c r="D8" s="7">
        <f>$B8 * IFERROR(VLOOKUP("transport|PM25|Asthma symptoms wheeze", US_national_yearly!$D:$AM, 12, FALSE) / VLOOKUP("transport|PM25|Asthma symptoms wheeze", US_national_yearly!$D:$AM, 10, FALSE), 1)</f>
        <v>8.2834812735679914E-2</v>
      </c>
      <c r="E8" s="7">
        <f>$B8 * IFERROR(VLOOKUP("transport|PM25|Asthma symptoms wheeze", US_national_yearly!$D:$AM, 13, FALSE) / VLOOKUP("transport|PM25|Asthma symptoms wheeze", US_national_yearly!$D:$AM, 10, FALSE), 1)</f>
        <v>8.2834812735679914E-2</v>
      </c>
      <c r="F8" s="7">
        <f>$B8 * IFERROR(VLOOKUP("transport|PM25|Asthma symptoms wheeze", US_national_yearly!$D:$AM, 14, FALSE) / VLOOKUP("transport|PM25|Asthma symptoms wheeze", US_national_yearly!$D:$AM, 10, FALSE), 1)</f>
        <v>8.2834812735679914E-2</v>
      </c>
      <c r="G8" s="7">
        <f>$B8 * IFERROR(VLOOKUP("transport|PM25|Asthma symptoms wheeze", US_national_yearly!$D:$AM, 15, FALSE) / VLOOKUP("transport|PM25|Asthma symptoms wheeze", US_national_yearly!$D:$AM, 10, FALSE), 1)</f>
        <v>8.2834812735679914E-2</v>
      </c>
      <c r="H8" s="7">
        <f>$B8 * IFERROR(VLOOKUP("transport|PM25|Asthma symptoms wheeze", US_national_yearly!$D:$AM, 16, FALSE) / VLOOKUP("transport|PM25|Asthma symptoms wheeze", US_national_yearly!$D:$AM, 10, FALSE), 1)</f>
        <v>8.2834812735679914E-2</v>
      </c>
      <c r="I8" s="7">
        <f>$B8 * IFERROR(VLOOKUP("transport|PM25|Asthma symptoms wheeze", US_national_yearly!$D:$AM, 17, FALSE) / VLOOKUP("transport|PM25|Asthma symptoms wheeze", US_national_yearly!$D:$AM, 10, FALSE), 1)</f>
        <v>8.2834812735679914E-2</v>
      </c>
      <c r="J8" s="7">
        <f>$B8 * IFERROR(VLOOKUP("transport|PM25|Asthma symptoms wheeze", US_national_yearly!$D:$AM, 18, FALSE) / VLOOKUP("transport|PM25|Asthma symptoms wheeze", US_national_yearly!$D:$AM, 10, FALSE), 1)</f>
        <v>8.2834812735679914E-2</v>
      </c>
      <c r="K8" s="7">
        <f>$B8 * IFERROR(VLOOKUP("transport|PM25|Asthma symptoms wheeze", US_national_yearly!$D:$AM, 19, FALSE) / VLOOKUP("transport|PM25|Asthma symptoms wheeze", US_national_yearly!$D:$AM, 10, FALSE), 1)</f>
        <v>8.2834812735679914E-2</v>
      </c>
      <c r="L8" s="7">
        <f>$B8 * IFERROR(VLOOKUP("transport|PM25|Asthma symptoms wheeze", US_national_yearly!$D:$AM, 20, FALSE) / VLOOKUP("transport|PM25|Asthma symptoms wheeze", US_national_yearly!$D:$AM, 10, FALSE), 1)</f>
        <v>8.2834812735679914E-2</v>
      </c>
      <c r="M8" s="7">
        <f>$B8 * IFERROR(VLOOKUP("transport|PM25|Asthma symptoms wheeze", US_national_yearly!$D:$AM, 21, FALSE) / VLOOKUP("transport|PM25|Asthma symptoms wheeze", US_national_yearly!$D:$AM, 10, FALSE), 1)</f>
        <v>8.2834812735679914E-2</v>
      </c>
      <c r="N8" s="7">
        <f>$B8 * IFERROR(VLOOKUP("transport|PM25|Asthma symptoms wheeze", US_national_yearly!$D:$AM, 22, FALSE) / VLOOKUP("transport|PM25|Asthma symptoms wheeze", US_national_yearly!$D:$AM, 10, FALSE), 1)</f>
        <v>8.2834812735679914E-2</v>
      </c>
      <c r="O8" s="7">
        <f>$B8 * IFERROR(VLOOKUP("transport|PM25|Asthma symptoms wheeze", US_national_yearly!$D:$AM, 23, FALSE) / VLOOKUP("transport|PM25|Asthma symptoms wheeze", US_national_yearly!$D:$AM, 10, FALSE), 1)</f>
        <v>8.2834812735679914E-2</v>
      </c>
      <c r="P8" s="7">
        <f>$B8 * IFERROR(VLOOKUP("transport|PM25|Asthma symptoms wheeze", US_national_yearly!$D:$AM, 24, FALSE) / VLOOKUP("transport|PM25|Asthma symptoms wheeze", US_national_yearly!$D:$AM, 10, FALSE), 1)</f>
        <v>8.2834812735679914E-2</v>
      </c>
      <c r="Q8" s="7">
        <f>$B8 * IFERROR(VLOOKUP("transport|PM25|Asthma symptoms wheeze", US_national_yearly!$D:$AM, 25, FALSE) / VLOOKUP("transport|PM25|Asthma symptoms wheeze", US_national_yearly!$D:$AM, 10, FALSE), 1)</f>
        <v>8.2834812735679914E-2</v>
      </c>
      <c r="R8" s="7">
        <f>$B8 * IFERROR(VLOOKUP("transport|PM25|Asthma symptoms wheeze", US_national_yearly!$D:$AM, 26, FALSE) / VLOOKUP("transport|PM25|Asthma symptoms wheeze", US_national_yearly!$D:$AM, 10, FALSE), 1)</f>
        <v>8.2834812735679914E-2</v>
      </c>
      <c r="S8" s="7">
        <f>$B8 * IFERROR(VLOOKUP("transport|PM25|Asthma symptoms wheeze", US_national_yearly!$D:$AM, 27, FALSE) / VLOOKUP("transport|PM25|Asthma symptoms wheeze", US_national_yearly!$D:$AM, 10, FALSE), 1)</f>
        <v>8.2834812735679914E-2</v>
      </c>
      <c r="T8" s="7">
        <f>$B8 * IFERROR(VLOOKUP("transport|PM25|Asthma symptoms wheeze", US_national_yearly!$D:$AM, 28, FALSE) / VLOOKUP("transport|PM25|Asthma symptoms wheeze", US_national_yearly!$D:$AM, 10, FALSE), 1)</f>
        <v>8.2834812735679914E-2</v>
      </c>
      <c r="U8" s="7">
        <f>$B8 * IFERROR(VLOOKUP("transport|PM25|Asthma symptoms wheeze", US_national_yearly!$D:$AM, 29, FALSE) / VLOOKUP("transport|PM25|Asthma symptoms wheeze", US_national_yearly!$D:$AM, 10, FALSE), 1)</f>
        <v>8.2834812735679914E-2</v>
      </c>
      <c r="V8" s="7">
        <f>$B8 * IFERROR(VLOOKUP("transport|PM25|Asthma symptoms wheeze", US_national_yearly!$D:$AM, 30, FALSE) / VLOOKUP("transport|PM25|Asthma symptoms wheeze", US_national_yearly!$D:$AM, 10, FALSE), 1)</f>
        <v>8.2834812735679914E-2</v>
      </c>
      <c r="W8" s="7">
        <f>$B8 * IFERROR(VLOOKUP("transport|PM25|Asthma symptoms wheeze", US_national_yearly!$D:$AM, 31, FALSE) / VLOOKUP("transport|PM25|Asthma symptoms wheeze", US_national_yearly!$D:$AM, 10, FALSE), 1)</f>
        <v>8.2834812735679914E-2</v>
      </c>
      <c r="X8" s="7">
        <f>$B8 * IFERROR(VLOOKUP("transport|PM25|Asthma symptoms wheeze", US_national_yearly!$D:$AM, 32, FALSE) / VLOOKUP("transport|PM25|Asthma symptoms wheeze", US_national_yearly!$D:$AM, 10, FALSE), 1)</f>
        <v>8.2834812735679914E-2</v>
      </c>
      <c r="Y8" s="7">
        <f>$B8 * IFERROR(VLOOKUP("transport|PM25|Asthma symptoms wheeze", US_national_yearly!$D:$AM, 33, FALSE) / VLOOKUP("transport|PM25|Asthma symptoms wheeze", US_national_yearly!$D:$AM, 10, FALSE), 1)</f>
        <v>8.2834812735679914E-2</v>
      </c>
      <c r="Z8" s="7">
        <f>$B8 * IFERROR(VLOOKUP("transport|PM25|Asthma symptoms wheeze", US_national_yearly!$D:$AM, 34, FALSE) / VLOOKUP("transport|PM25|Asthma symptoms wheeze", US_national_yearly!$D:$AM, 10, FALSE), 1)</f>
        <v>8.2834812735679914E-2</v>
      </c>
      <c r="AA8" s="7">
        <f>$B8 * IFERROR(VLOOKUP("transport|PM25|Asthma symptoms wheeze", US_national_yearly!$D:$AM, 35, FALSE) / VLOOKUP("transport|PM25|Asthma symptoms wheeze", US_national_yearly!$D:$AM, 10, FALSE), 1)</f>
        <v>8.2834812735679914E-2</v>
      </c>
      <c r="AB8" s="7">
        <f>$B8 * IFERROR(VLOOKUP("transport|PM25|Asthma symptoms wheeze", US_national_yearly!$D:$AM, 36, FALSE) / VLOOKUP("transport|PM25|Asthma symptoms wheeze", US_national_yearly!$D:$AM, 10, FALSE), 1)</f>
        <v>8.2834812735679914E-2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1.1849596261774809E-3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1.1917513371485146E-3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1.1985430481195479E-3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1.2053347590905816E-3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1.2121264700616151E-3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1.219461807612635E-3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1.2267971451636551E-3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1.2338057814984195E-3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1.2408144178331845E-3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1.2478230541679493E-3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1.2548316905027143E-3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1.2618403268374789E-3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1.2668706296597668E-3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1.2719009324820543E-3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1.2769312353043418E-3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1.2819615381266295E-3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1.2869918409489174E-3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1.2917813520680239E-3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1.2965708631871311E-3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1.3013603743062378E-3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1.3061498854253445E-3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1.310939396544451E-3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1.3155469673368507E-3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1.32015453812925E-3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1.3247621089216492E-3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1.3293696797140485E-3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1.3339772505064477E-3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7.4821058276270079E-3</v>
      </c>
      <c r="C13" s="7">
        <f>$B13 * IFERROR(VLOOKUP("transport|PM25|Non-fatal heart attacks", US_national_yearly!$D:$AM, 11, FALSE) / VLOOKUP("transport|PM25|Non-fatal heart attacks", US_national_yearly!$D:$AM, 10, FALSE), 1)</f>
        <v>7.6996304992725615E-3</v>
      </c>
      <c r="D13" s="7">
        <f>$B13 * IFERROR(VLOOKUP("transport|PM25|Non-fatal heart attacks", US_national_yearly!$D:$AM, 12, FALSE) / VLOOKUP("transport|PM25|Non-fatal heart attacks", US_national_yearly!$D:$AM, 10, FALSE), 1)</f>
        <v>7.9171551709181151E-3</v>
      </c>
      <c r="E13" s="7">
        <f>$B13 * IFERROR(VLOOKUP("transport|PM25|Non-fatal heart attacks", US_national_yearly!$D:$AM, 13, FALSE) / VLOOKUP("transport|PM25|Non-fatal heart attacks", US_national_yearly!$D:$AM, 10, FALSE), 1)</f>
        <v>8.1346798425636652E-3</v>
      </c>
      <c r="F13" s="7">
        <f>$B13 * IFERROR(VLOOKUP("transport|PM25|Non-fatal heart attacks", US_national_yearly!$D:$AM, 14, FALSE) / VLOOKUP("transport|PM25|Non-fatal heart attacks", US_national_yearly!$D:$AM, 10, FALSE), 1)</f>
        <v>8.3522045142092206E-3</v>
      </c>
      <c r="G13" s="7">
        <f>$B13 * IFERROR(VLOOKUP("transport|PM25|Non-fatal heart attacks", US_national_yearly!$D:$AM, 15, FALSE) / VLOOKUP("transport|PM25|Non-fatal heart attacks", US_national_yearly!$D:$AM, 10, FALSE), 1)</f>
        <v>8.5573440312141143E-3</v>
      </c>
      <c r="H13" s="7">
        <f>$B13 * IFERROR(VLOOKUP("transport|PM25|Non-fatal heart attacks", US_national_yearly!$D:$AM, 16, FALSE) / VLOOKUP("transport|PM25|Non-fatal heart attacks", US_national_yearly!$D:$AM, 10, FALSE), 1)</f>
        <v>8.7624835482190046E-3</v>
      </c>
      <c r="I13" s="7">
        <f>$B13 * IFERROR(VLOOKUP("transport|PM25|Non-fatal heart attacks", US_national_yearly!$D:$AM, 17, FALSE) / VLOOKUP("transport|PM25|Non-fatal heart attacks", US_national_yearly!$D:$AM, 10, FALSE), 1)</f>
        <v>8.9273474586898105E-3</v>
      </c>
      <c r="J13" s="7">
        <f>$B13 * IFERROR(VLOOKUP("transport|PM25|Non-fatal heart attacks", US_national_yearly!$D:$AM, 18, FALSE) / VLOOKUP("transport|PM25|Non-fatal heart attacks", US_national_yearly!$D:$AM, 10, FALSE), 1)</f>
        <v>9.0922113691606164E-3</v>
      </c>
      <c r="K13" s="7">
        <f>$B13 * IFERROR(VLOOKUP("transport|PM25|Non-fatal heart attacks", US_national_yearly!$D:$AM, 19, FALSE) / VLOOKUP("transport|PM25|Non-fatal heart attacks", US_national_yearly!$D:$AM, 10, FALSE), 1)</f>
        <v>9.2570752796314239E-3</v>
      </c>
      <c r="L13" s="7">
        <f>$B13 * IFERROR(VLOOKUP("transport|PM25|Non-fatal heart attacks", US_national_yearly!$D:$AM, 20, FALSE) / VLOOKUP("transport|PM25|Non-fatal heart attacks", US_national_yearly!$D:$AM, 10, FALSE), 1)</f>
        <v>9.4219391901022281E-3</v>
      </c>
      <c r="M13" s="7">
        <f>$B13 * IFERROR(VLOOKUP("transport|PM25|Non-fatal heart attacks", US_national_yearly!$D:$AM, 21, FALSE) / VLOOKUP("transport|PM25|Non-fatal heart attacks", US_national_yearly!$D:$AM, 10, FALSE), 1)</f>
        <v>9.5868031005730357E-3</v>
      </c>
      <c r="N13" s="7">
        <f>$B13 * IFERROR(VLOOKUP("transport|PM25|Non-fatal heart attacks", US_national_yearly!$D:$AM, 22, FALSE) / VLOOKUP("transport|PM25|Non-fatal heart attacks", US_national_yearly!$D:$AM, 10, FALSE), 1)</f>
        <v>9.6931240432607847E-3</v>
      </c>
      <c r="O13" s="7">
        <f>$B13 * IFERROR(VLOOKUP("transport|PM25|Non-fatal heart attacks", US_national_yearly!$D:$AM, 23, FALSE) / VLOOKUP("transport|PM25|Non-fatal heart attacks", US_national_yearly!$D:$AM, 10, FALSE), 1)</f>
        <v>9.7994449859485355E-3</v>
      </c>
      <c r="P13" s="7">
        <f>$B13 * IFERROR(VLOOKUP("transport|PM25|Non-fatal heart attacks", US_national_yearly!$D:$AM, 24, FALSE) / VLOOKUP("transport|PM25|Non-fatal heart attacks", US_national_yearly!$D:$AM, 10, FALSE), 1)</f>
        <v>9.9057659286362863E-3</v>
      </c>
      <c r="Q13" s="7">
        <f>$B13 * IFERROR(VLOOKUP("transport|PM25|Non-fatal heart attacks", US_national_yearly!$D:$AM, 25, FALSE) / VLOOKUP("transport|PM25|Non-fatal heart attacks", US_national_yearly!$D:$AM, 10, FALSE), 1)</f>
        <v>1.0012086871324035E-2</v>
      </c>
      <c r="R13" s="7">
        <f>$B13 * IFERROR(VLOOKUP("transport|PM25|Non-fatal heart attacks", US_national_yearly!$D:$AM, 26, FALSE) / VLOOKUP("transport|PM25|Non-fatal heart attacks", US_national_yearly!$D:$AM, 10, FALSE), 1)</f>
        <v>1.0118407814011784E-2</v>
      </c>
      <c r="S13" s="7">
        <f>$B13 * IFERROR(VLOOKUP("transport|PM25|Non-fatal heart attacks", US_national_yearly!$D:$AM, 27, FALSE) / VLOOKUP("transport|PM25|Non-fatal heart attacks", US_national_yearly!$D:$AM, 10, FALSE), 1)</f>
        <v>1.0174399459997305E-2</v>
      </c>
      <c r="T13" s="7">
        <f>$B13 * IFERROR(VLOOKUP("transport|PM25|Non-fatal heart attacks", US_national_yearly!$D:$AM, 28, FALSE) / VLOOKUP("transport|PM25|Non-fatal heart attacks", US_national_yearly!$D:$AM, 10, FALSE), 1)</f>
        <v>1.0230391105982827E-2</v>
      </c>
      <c r="U13" s="7">
        <f>$B13 * IFERROR(VLOOKUP("transport|PM25|Non-fatal heart attacks", US_national_yearly!$D:$AM, 29, FALSE) / VLOOKUP("transport|PM25|Non-fatal heart attacks", US_national_yearly!$D:$AM, 10, FALSE), 1)</f>
        <v>1.0286382751968349E-2</v>
      </c>
      <c r="V13" s="7">
        <f>$B13 * IFERROR(VLOOKUP("transport|PM25|Non-fatal heart attacks", US_national_yearly!$D:$AM, 30, FALSE) / VLOOKUP("transport|PM25|Non-fatal heart attacks", US_national_yearly!$D:$AM, 10, FALSE), 1)</f>
        <v>1.0342374397953871E-2</v>
      </c>
      <c r="W13" s="7">
        <f>$B13 * IFERROR(VLOOKUP("transport|PM25|Non-fatal heart attacks", US_national_yearly!$D:$AM, 31, FALSE) / VLOOKUP("transport|PM25|Non-fatal heart attacks", US_national_yearly!$D:$AM, 10, FALSE), 1)</f>
        <v>1.0398366043939391E-2</v>
      </c>
      <c r="X13" s="7">
        <f>$B13 * IFERROR(VLOOKUP("transport|PM25|Non-fatal heart attacks", US_national_yearly!$D:$AM, 32, FALSE) / VLOOKUP("transport|PM25|Non-fatal heart attacks", US_national_yearly!$D:$AM, 10, FALSE), 1)</f>
        <v>1.0440871799468017E-2</v>
      </c>
      <c r="Y13" s="7">
        <f>$B13 * IFERROR(VLOOKUP("transport|PM25|Non-fatal heart attacks", US_national_yearly!$D:$AM, 33, FALSE) / VLOOKUP("transport|PM25|Non-fatal heart attacks", US_national_yearly!$D:$AM, 10, FALSE), 1)</f>
        <v>1.0483377554996646E-2</v>
      </c>
      <c r="Z13" s="7">
        <f>$B13 * IFERROR(VLOOKUP("transport|PM25|Non-fatal heart attacks", US_national_yearly!$D:$AM, 34, FALSE) / VLOOKUP("transport|PM25|Non-fatal heart attacks", US_national_yearly!$D:$AM, 10, FALSE), 1)</f>
        <v>1.0525883310525272E-2</v>
      </c>
      <c r="AA13" s="7">
        <f>$B13 * IFERROR(VLOOKUP("transport|PM25|Non-fatal heart attacks", US_national_yearly!$D:$AM, 35, FALSE) / VLOOKUP("transport|PM25|Non-fatal heart attacks", US_national_yearly!$D:$AM, 10, FALSE), 1)</f>
        <v>1.0568389066053899E-2</v>
      </c>
      <c r="AB13" s="7">
        <f>$B13 * IFERROR(VLOOKUP("transport|PM25|Non-fatal heart attacks", US_national_yearly!$D:$AM, 36, FALSE) / VLOOKUP("transport|PM25|Non-fatal heart attacks", US_national_yearly!$D:$AM, 10, FALSE), 1)</f>
        <v>1.0610894821582527E-2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5.0878581142296309</v>
      </c>
      <c r="C14" s="7">
        <f>$B14 * IFERROR(VLOOKUP("transport|PM25|Minor restricted activity days", US_national_yearly!$D:$AM, 11, FALSE) / VLOOKUP("transport|PM25|Minor restricted activity days", US_national_yearly!$D:$AM, 10, FALSE), 1)</f>
        <v>5.1002832671181704</v>
      </c>
      <c r="D14" s="7">
        <f>$B14 * IFERROR(VLOOKUP("transport|PM25|Minor restricted activity days", US_national_yearly!$D:$AM, 12, FALSE) / VLOOKUP("transport|PM25|Minor restricted activity days", US_national_yearly!$D:$AM, 10, FALSE), 1)</f>
        <v>5.1127084200067099</v>
      </c>
      <c r="E14" s="7">
        <f>$B14 * IFERROR(VLOOKUP("transport|PM25|Minor restricted activity days", US_national_yearly!$D:$AM, 13, FALSE) / VLOOKUP("transport|PM25|Minor restricted activity days", US_national_yearly!$D:$AM, 10, FALSE), 1)</f>
        <v>5.1251335728952503</v>
      </c>
      <c r="F14" s="7">
        <f>$B14 * IFERROR(VLOOKUP("transport|PM25|Minor restricted activity days", US_national_yearly!$D:$AM, 14, FALSE) / VLOOKUP("transport|PM25|Minor restricted activity days", US_national_yearly!$D:$AM, 10, FALSE), 1)</f>
        <v>5.137558725783788</v>
      </c>
      <c r="G14" s="7">
        <f>$B14 * IFERROR(VLOOKUP("transport|PM25|Minor restricted activity days", US_national_yearly!$D:$AM, 15, FALSE) / VLOOKUP("transport|PM25|Minor restricted activity days", US_national_yearly!$D:$AM, 10, FALSE), 1)</f>
        <v>5.155891667018226</v>
      </c>
      <c r="H14" s="7">
        <f>$B14 * IFERROR(VLOOKUP("transport|PM25|Minor restricted activity days", US_national_yearly!$D:$AM, 16, FALSE) / VLOOKUP("transport|PM25|Minor restricted activity days", US_national_yearly!$D:$AM, 10, FALSE), 1)</f>
        <v>5.1742246082526639</v>
      </c>
      <c r="I14" s="7">
        <f>$B14 * IFERROR(VLOOKUP("transport|PM25|Minor restricted activity days", US_national_yearly!$D:$AM, 17, FALSE) / VLOOKUP("transport|PM25|Minor restricted activity days", US_national_yearly!$D:$AM, 10, FALSE), 1)</f>
        <v>5.2055655425750036</v>
      </c>
      <c r="J14" s="7">
        <f>$B14 * IFERROR(VLOOKUP("transport|PM25|Minor restricted activity days", US_national_yearly!$D:$AM, 18, FALSE) / VLOOKUP("transport|PM25|Minor restricted activity days", US_national_yearly!$D:$AM, 10, FALSE), 1)</f>
        <v>5.2369064768973406</v>
      </c>
      <c r="K14" s="7">
        <f>$B14 * IFERROR(VLOOKUP("transport|PM25|Minor restricted activity days", US_national_yearly!$D:$AM, 19, FALSE) / VLOOKUP("transport|PM25|Minor restricted activity days", US_national_yearly!$D:$AM, 10, FALSE), 1)</f>
        <v>5.2682474112196802</v>
      </c>
      <c r="L14" s="7">
        <f>$B14 * IFERROR(VLOOKUP("transport|PM25|Minor restricted activity days", US_national_yearly!$D:$AM, 20, FALSE) / VLOOKUP("transport|PM25|Minor restricted activity days", US_national_yearly!$D:$AM, 10, FALSE), 1)</f>
        <v>5.299588345542019</v>
      </c>
      <c r="M14" s="7">
        <f>$B14 * IFERROR(VLOOKUP("transport|PM25|Minor restricted activity days", US_national_yearly!$D:$AM, 21, FALSE) / VLOOKUP("transport|PM25|Minor restricted activity days", US_national_yearly!$D:$AM, 10, FALSE), 1)</f>
        <v>5.3309292798643568</v>
      </c>
      <c r="N14" s="7">
        <f>$B14 * IFERROR(VLOOKUP("transport|PM25|Minor restricted activity days", US_national_yearly!$D:$AM, 22, FALSE) / VLOOKUP("transport|PM25|Minor restricted activity days", US_national_yearly!$D:$AM, 10, FALSE), 1)</f>
        <v>5.3736218723803084</v>
      </c>
      <c r="O14" s="7">
        <f>$B14 * IFERROR(VLOOKUP("transport|PM25|Minor restricted activity days", US_national_yearly!$D:$AM, 23, FALSE) / VLOOKUP("transport|PM25|Minor restricted activity days", US_national_yearly!$D:$AM, 10, FALSE), 1)</f>
        <v>5.4163144648962591</v>
      </c>
      <c r="P14" s="7">
        <f>$B14 * IFERROR(VLOOKUP("transport|PM25|Minor restricted activity days", US_national_yearly!$D:$AM, 24, FALSE) / VLOOKUP("transport|PM25|Minor restricted activity days", US_national_yearly!$D:$AM, 10, FALSE), 1)</f>
        <v>5.4590070574122107</v>
      </c>
      <c r="Q14" s="7">
        <f>$B14 * IFERROR(VLOOKUP("transport|PM25|Minor restricted activity days", US_national_yearly!$D:$AM, 25, FALSE) / VLOOKUP("transport|PM25|Minor restricted activity days", US_national_yearly!$D:$AM, 10, FALSE), 1)</f>
        <v>5.5016996499281605</v>
      </c>
      <c r="R14" s="7">
        <f>$B14 * IFERROR(VLOOKUP("transport|PM25|Minor restricted activity days", US_national_yearly!$D:$AM, 26, FALSE) / VLOOKUP("transport|PM25|Minor restricted activity days", US_national_yearly!$D:$AM, 10, FALSE), 1)</f>
        <v>5.5443922424441112</v>
      </c>
      <c r="S14" s="7">
        <f>$B14 * IFERROR(VLOOKUP("transport|PM25|Minor restricted activity days", US_national_yearly!$D:$AM, 27, FALSE) / VLOOKUP("transport|PM25|Minor restricted activity days", US_national_yearly!$D:$AM, 10, FALSE), 1)</f>
        <v>5.5873788448552366</v>
      </c>
      <c r="T14" s="7">
        <f>$B14 * IFERROR(VLOOKUP("transport|PM25|Minor restricted activity days", US_national_yearly!$D:$AM, 28, FALSE) / VLOOKUP("transport|PM25|Minor restricted activity days", US_national_yearly!$D:$AM, 10, FALSE), 1)</f>
        <v>5.630365447266362</v>
      </c>
      <c r="U14" s="7">
        <f>$B14 * IFERROR(VLOOKUP("transport|PM25|Minor restricted activity days", US_national_yearly!$D:$AM, 29, FALSE) / VLOOKUP("transport|PM25|Minor restricted activity days", US_national_yearly!$D:$AM, 10, FALSE), 1)</f>
        <v>5.6733520496774874</v>
      </c>
      <c r="V14" s="7">
        <f>$B14 * IFERROR(VLOOKUP("transport|PM25|Minor restricted activity days", US_national_yearly!$D:$AM, 30, FALSE) / VLOOKUP("transport|PM25|Minor restricted activity days", US_national_yearly!$D:$AM, 10, FALSE), 1)</f>
        <v>5.7163386520886128</v>
      </c>
      <c r="W14" s="7">
        <f>$B14 * IFERROR(VLOOKUP("transport|PM25|Minor restricted activity days", US_national_yearly!$D:$AM, 31, FALSE) / VLOOKUP("transport|PM25|Minor restricted activity days", US_national_yearly!$D:$AM, 10, FALSE), 1)</f>
        <v>5.7593252544997382</v>
      </c>
      <c r="X14" s="7">
        <f>$B14 * IFERROR(VLOOKUP("transport|PM25|Minor restricted activity days", US_national_yearly!$D:$AM, 32, FALSE) / VLOOKUP("transport|PM25|Minor restricted activity days", US_national_yearly!$D:$AM, 10, FALSE), 1)</f>
        <v>5.7966419499270767</v>
      </c>
      <c r="Y14" s="7">
        <f>$B14 * IFERROR(VLOOKUP("transport|PM25|Minor restricted activity days", US_national_yearly!$D:$AM, 33, FALSE) / VLOOKUP("transport|PM25|Minor restricted activity days", US_national_yearly!$D:$AM, 10, FALSE), 1)</f>
        <v>5.8339586453544152</v>
      </c>
      <c r="Z14" s="7">
        <f>$B14 * IFERROR(VLOOKUP("transport|PM25|Minor restricted activity days", US_national_yearly!$D:$AM, 34, FALSE) / VLOOKUP("transport|PM25|Minor restricted activity days", US_national_yearly!$D:$AM, 10, FALSE), 1)</f>
        <v>5.8712753407817537</v>
      </c>
      <c r="AA14" s="7">
        <f>$B14 * IFERROR(VLOOKUP("transport|PM25|Minor restricted activity days", US_national_yearly!$D:$AM, 35, FALSE) / VLOOKUP("transport|PM25|Minor restricted activity days", US_national_yearly!$D:$AM, 10, FALSE), 1)</f>
        <v>5.9085920362090913</v>
      </c>
      <c r="AB14" s="7">
        <f>$B14 * IFERROR(VLOOKUP("transport|PM25|Minor restricted activity days", US_national_yearly!$D:$AM, 36, FALSE) / VLOOKUP("transport|PM25|Minor restricted activity days", US_national_yearly!$D:$AM, 10, FALSE), 1)</f>
        <v>5.9459087316364299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0.85995736742903084</v>
      </c>
      <c r="C15" s="7">
        <f>$B15 * IFERROR(VLOOKUP("transport|PM25|Work loss days", US_national_yearly!$D:$AM, 11, FALSE) / VLOOKUP("transport|PM25|Work loss days", US_national_yearly!$D:$AM, 10, FALSE), 1)</f>
        <v>0.86262292553653186</v>
      </c>
      <c r="D15" s="7">
        <f>$B15 * IFERROR(VLOOKUP("transport|PM25|Work loss days", US_national_yearly!$D:$AM, 12, FALSE) / VLOOKUP("transport|PM25|Work loss days", US_national_yearly!$D:$AM, 10, FALSE), 1)</f>
        <v>0.8652884836440331</v>
      </c>
      <c r="E15" s="7">
        <f>$B15 * IFERROR(VLOOKUP("transport|PM25|Work loss days", US_national_yearly!$D:$AM, 13, FALSE) / VLOOKUP("transport|PM25|Work loss days", US_national_yearly!$D:$AM, 10, FALSE), 1)</f>
        <v>0.86795404175153412</v>
      </c>
      <c r="F15" s="7">
        <f>$B15 * IFERROR(VLOOKUP("transport|PM25|Work loss days", US_national_yearly!$D:$AM, 14, FALSE) / VLOOKUP("transport|PM25|Work loss days", US_national_yearly!$D:$AM, 10, FALSE), 1)</f>
        <v>0.87061959985903514</v>
      </c>
      <c r="G15" s="7">
        <f>$B15 * IFERROR(VLOOKUP("transport|PM25|Work loss days", US_national_yearly!$D:$AM, 15, FALSE) / VLOOKUP("transport|PM25|Work loss days", US_national_yearly!$D:$AM, 10, FALSE), 1)</f>
        <v>0.87411431662978845</v>
      </c>
      <c r="H15" s="7">
        <f>$B15 * IFERROR(VLOOKUP("transport|PM25|Work loss days", US_national_yearly!$D:$AM, 16, FALSE) / VLOOKUP("transport|PM25|Work loss days", US_national_yearly!$D:$AM, 10, FALSE), 1)</f>
        <v>0.87760903340054186</v>
      </c>
      <c r="I15" s="7">
        <f>$B15 * IFERROR(VLOOKUP("transport|PM25|Work loss days", US_national_yearly!$D:$AM, 17, FALSE) / VLOOKUP("transport|PM25|Work loss days", US_national_yearly!$D:$AM, 10, FALSE), 1)</f>
        <v>0.88275538821157828</v>
      </c>
      <c r="J15" s="7">
        <f>$B15 * IFERROR(VLOOKUP("transport|PM25|Work loss days", US_national_yearly!$D:$AM, 18, FALSE) / VLOOKUP("transport|PM25|Work loss days", US_national_yearly!$D:$AM, 10, FALSE), 1)</f>
        <v>0.8879017430226146</v>
      </c>
      <c r="K15" s="7">
        <f>$B15 * IFERROR(VLOOKUP("transport|PM25|Work loss days", US_national_yearly!$D:$AM, 19, FALSE) / VLOOKUP("transport|PM25|Work loss days", US_national_yearly!$D:$AM, 10, FALSE), 1)</f>
        <v>0.89304809783365091</v>
      </c>
      <c r="L15" s="7">
        <f>$B15 * IFERROR(VLOOKUP("transport|PM25|Work loss days", US_national_yearly!$D:$AM, 20, FALSE) / VLOOKUP("transport|PM25|Work loss days", US_national_yearly!$D:$AM, 10, FALSE), 1)</f>
        <v>0.89819445264468734</v>
      </c>
      <c r="M15" s="7">
        <f>$B15 * IFERROR(VLOOKUP("transport|PM25|Work loss days", US_national_yearly!$D:$AM, 21, FALSE) / VLOOKUP("transport|PM25|Work loss days", US_national_yearly!$D:$AM, 10, FALSE), 1)</f>
        <v>0.90334080745572365</v>
      </c>
      <c r="N15" s="7">
        <f>$B15 * IFERROR(VLOOKUP("transport|PM25|Work loss days", US_national_yearly!$D:$AM, 22, FALSE) / VLOOKUP("transport|PM25|Work loss days", US_national_yearly!$D:$AM, 10, FALSE), 1)</f>
        <v>0.90981788450683854</v>
      </c>
      <c r="O15" s="7">
        <f>$B15 * IFERROR(VLOOKUP("transport|PM25|Work loss days", US_national_yearly!$D:$AM, 23, FALSE) / VLOOKUP("transport|PM25|Work loss days", US_national_yearly!$D:$AM, 10, FALSE), 1)</f>
        <v>0.9162949615579532</v>
      </c>
      <c r="P15" s="7">
        <f>$B15 * IFERROR(VLOOKUP("transport|PM25|Work loss days", US_national_yearly!$D:$AM, 24, FALSE) / VLOOKUP("transport|PM25|Work loss days", US_national_yearly!$D:$AM, 10, FALSE), 1)</f>
        <v>0.92277203860906798</v>
      </c>
      <c r="Q15" s="7">
        <f>$B15 * IFERROR(VLOOKUP("transport|PM25|Work loss days", US_national_yearly!$D:$AM, 25, FALSE) / VLOOKUP("transport|PM25|Work loss days", US_national_yearly!$D:$AM, 10, FALSE), 1)</f>
        <v>0.92924911566018265</v>
      </c>
      <c r="R15" s="7">
        <f>$B15 * IFERROR(VLOOKUP("transport|PM25|Work loss days", US_national_yearly!$D:$AM, 26, FALSE) / VLOOKUP("transport|PM25|Work loss days", US_national_yearly!$D:$AM, 10, FALSE), 1)</f>
        <v>0.93572619271129753</v>
      </c>
      <c r="S15" s="7">
        <f>$B15 * IFERROR(VLOOKUP("transport|PM25|Work loss days", US_national_yearly!$D:$AM, 27, FALSE) / VLOOKUP("transport|PM25|Work loss days", US_national_yearly!$D:$AM, 10, FALSE), 1)</f>
        <v>0.94289011645861565</v>
      </c>
      <c r="T15" s="7">
        <f>$B15 * IFERROR(VLOOKUP("transport|PM25|Work loss days", US_national_yearly!$D:$AM, 28, FALSE) / VLOOKUP("transport|PM25|Work loss days", US_national_yearly!$D:$AM, 10, FALSE), 1)</f>
        <v>0.95005404020593409</v>
      </c>
      <c r="U15" s="7">
        <f>$B15 * IFERROR(VLOOKUP("transport|PM25|Work loss days", US_national_yearly!$D:$AM, 29, FALSE) / VLOOKUP("transport|PM25|Work loss days", US_national_yearly!$D:$AM, 10, FALSE), 1)</f>
        <v>0.95721796395325209</v>
      </c>
      <c r="V15" s="7">
        <f>$B15 * IFERROR(VLOOKUP("transport|PM25|Work loss days", US_national_yearly!$D:$AM, 30, FALSE) / VLOOKUP("transport|PM25|Work loss days", US_national_yearly!$D:$AM, 10, FALSE), 1)</f>
        <v>0.96438188770057043</v>
      </c>
      <c r="W15" s="7">
        <f>$B15 * IFERROR(VLOOKUP("transport|PM25|Work loss days", US_national_yearly!$D:$AM, 31, FALSE) / VLOOKUP("transport|PM25|Work loss days", US_national_yearly!$D:$AM, 10, FALSE), 1)</f>
        <v>0.97154581144788865</v>
      </c>
      <c r="X15" s="7">
        <f>$B15 * IFERROR(VLOOKUP("transport|PM25|Work loss days", US_national_yearly!$D:$AM, 32, FALSE) / VLOOKUP("transport|PM25|Work loss days", US_national_yearly!$D:$AM, 10, FALSE), 1)</f>
        <v>0.97790214394794506</v>
      </c>
      <c r="Y15" s="7">
        <f>$B15 * IFERROR(VLOOKUP("transport|PM25|Work loss days", US_national_yearly!$D:$AM, 33, FALSE) / VLOOKUP("transport|PM25|Work loss days", US_national_yearly!$D:$AM, 10, FALSE), 1)</f>
        <v>0.98425847644800146</v>
      </c>
      <c r="Z15" s="7">
        <f>$B15 * IFERROR(VLOOKUP("transport|PM25|Work loss days", US_national_yearly!$D:$AM, 34, FALSE) / VLOOKUP("transport|PM25|Work loss days", US_national_yearly!$D:$AM, 10, FALSE), 1)</f>
        <v>0.99061480894805798</v>
      </c>
      <c r="AA15" s="7">
        <f>$B15 * IFERROR(VLOOKUP("transport|PM25|Work loss days", US_national_yearly!$D:$AM, 35, FALSE) / VLOOKUP("transport|PM25|Work loss days", US_national_yearly!$D:$AM, 10, FALSE), 1)</f>
        <v>0.99697114144811461</v>
      </c>
      <c r="AB15" s="7">
        <f>$B15 * IFERROR(VLOOKUP("transport|PM25|Work loss days", US_national_yearly!$D:$AM, 36, FALSE) / VLOOKUP("transport|PM25|Work loss days", US_national_yearly!$D:$AM, 10, FALSE), 1)</f>
        <v>1.003327473948171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2.0540791785929246E-3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2.1154564967933165E-3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2.1768338149937084E-3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2.2382111331941006E-3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2.2995884513944929E-3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2.3583769585995631E-3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2.4171654658046338E-3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2.4674446247848411E-3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2.517723783765048E-3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2.5680029427452549E-3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2.6182821017254627E-3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2.6685612607056696E-3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2.7020835239380016E-3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2.7356057871703345E-3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2.7691280504026665E-3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2.8026503136349989E-3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2.8361725768673313E-3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2.8539089837915574E-3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2.871645390715783E-3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2.8893817976400078E-3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2.9071182045642334E-3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2.924854611488459E-3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2.9367949939340145E-3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2.9487353763795699E-3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2.9606757588251254E-3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2.9726161412706809E-3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2.9845565237162359E-3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7.5225178020597264E-4</v>
      </c>
      <c r="C2" s="7">
        <f>$B2 * IFERROR(VLOOKUP("transport|NOx|Premature mortality", US_national_yearly!$D:$AM, 11, FALSE) / VLOOKUP("transport|NOx|Premature mortality", US_national_yearly!$D:$AM, 10, FALSE), 1)</f>
        <v>7.6330108736116494E-4</v>
      </c>
      <c r="D2" s="7">
        <f>$B2 * IFERROR(VLOOKUP("transport|NOx|Premature mortality", US_national_yearly!$D:$AM, 12, FALSE) / VLOOKUP("transport|NOx|Premature mortality", US_national_yearly!$D:$AM, 10, FALSE), 1)</f>
        <v>7.7435039451635701E-4</v>
      </c>
      <c r="E2" s="7">
        <f>$B2 * IFERROR(VLOOKUP("transport|NOx|Premature mortality", US_national_yearly!$D:$AM, 13, FALSE) / VLOOKUP("transport|NOx|Premature mortality", US_national_yearly!$D:$AM, 10, FALSE), 1)</f>
        <v>7.8539970167154931E-4</v>
      </c>
      <c r="F2" s="7">
        <f>$B2 * IFERROR(VLOOKUP("transport|NOx|Premature mortality", US_national_yearly!$D:$AM, 14, FALSE) / VLOOKUP("transport|NOx|Premature mortality", US_national_yearly!$D:$AM, 10, FALSE), 1)</f>
        <v>7.9644900882674149E-4</v>
      </c>
      <c r="G2" s="7">
        <f>$B2 * IFERROR(VLOOKUP("transport|NOx|Premature mortality", US_national_yearly!$D:$AM, 15, FALSE) / VLOOKUP("transport|NOx|Premature mortality", US_national_yearly!$D:$AM, 10, FALSE), 1)</f>
        <v>8.1629617680111931E-4</v>
      </c>
      <c r="H2" s="7">
        <f>$B2 * IFERROR(VLOOKUP("transport|NOx|Premature mortality", US_national_yearly!$D:$AM, 16, FALSE) / VLOOKUP("transport|NOx|Premature mortality", US_national_yearly!$D:$AM, 10, FALSE), 1)</f>
        <v>8.3614334477549734E-4</v>
      </c>
      <c r="I2" s="7">
        <f>$B2 * IFERROR(VLOOKUP("transport|NOx|Premature mortality", US_national_yearly!$D:$AM, 17, FALSE) / VLOOKUP("transport|NOx|Premature mortality", US_national_yearly!$D:$AM, 10, FALSE), 1)</f>
        <v>8.4895506817664324E-4</v>
      </c>
      <c r="J2" s="7">
        <f>$B2 * IFERROR(VLOOKUP("transport|NOx|Premature mortality", US_national_yearly!$D:$AM, 18, FALSE) / VLOOKUP("transport|NOx|Premature mortality", US_national_yearly!$D:$AM, 10, FALSE), 1)</f>
        <v>8.6176679157778924E-4</v>
      </c>
      <c r="K2" s="7">
        <f>$B2 * IFERROR(VLOOKUP("transport|NOx|Premature mortality", US_national_yearly!$D:$AM, 19, FALSE) / VLOOKUP("transport|NOx|Premature mortality", US_national_yearly!$D:$AM, 10, FALSE), 1)</f>
        <v>8.7457851497893513E-4</v>
      </c>
      <c r="L2" s="7">
        <f>$B2 * IFERROR(VLOOKUP("transport|NOx|Premature mortality", US_national_yearly!$D:$AM, 20, FALSE) / VLOOKUP("transport|NOx|Premature mortality", US_national_yearly!$D:$AM, 10, FALSE), 1)</f>
        <v>8.8739023838008092E-4</v>
      </c>
      <c r="M2" s="7">
        <f>$B2 * IFERROR(VLOOKUP("transport|NOx|Premature mortality", US_national_yearly!$D:$AM, 21, FALSE) / VLOOKUP("transport|NOx|Premature mortality", US_national_yearly!$D:$AM, 10, FALSE), 1)</f>
        <v>9.0020196178122703E-4</v>
      </c>
      <c r="N2" s="7">
        <f>$B2 * IFERROR(VLOOKUP("transport|NOx|Premature mortality", US_national_yearly!$D:$AM, 22, FALSE) / VLOOKUP("transport|NOx|Premature mortality", US_national_yearly!$D:$AM, 10, FALSE), 1)</f>
        <v>9.0969283667066128E-4</v>
      </c>
      <c r="O2" s="7">
        <f>$B2 * IFERROR(VLOOKUP("transport|NOx|Premature mortality", US_national_yearly!$D:$AM, 23, FALSE) / VLOOKUP("transport|NOx|Premature mortality", US_national_yearly!$D:$AM, 10, FALSE), 1)</f>
        <v>9.1918371156009553E-4</v>
      </c>
      <c r="P2" s="7">
        <f>$B2 * IFERROR(VLOOKUP("transport|NOx|Premature mortality", US_national_yearly!$D:$AM, 24, FALSE) / VLOOKUP("transport|NOx|Premature mortality", US_national_yearly!$D:$AM, 10, FALSE), 1)</f>
        <v>9.2867458644952988E-4</v>
      </c>
      <c r="Q2" s="7">
        <f>$B2 * IFERROR(VLOOKUP("transport|NOx|Premature mortality", US_national_yearly!$D:$AM, 25, FALSE) / VLOOKUP("transport|NOx|Premature mortality", US_national_yearly!$D:$AM, 10, FALSE), 1)</f>
        <v>9.3816546133896435E-4</v>
      </c>
      <c r="R2" s="7">
        <f>$B2 * IFERROR(VLOOKUP("transport|NOx|Premature mortality", US_national_yearly!$D:$AM, 26, FALSE) / VLOOKUP("transport|NOx|Premature mortality", US_national_yearly!$D:$AM, 10, FALSE), 1)</f>
        <v>9.4765633622839859E-4</v>
      </c>
      <c r="S2" s="7">
        <f>$B2 * IFERROR(VLOOKUP("transport|NOx|Premature mortality", US_national_yearly!$D:$AM, 27, FALSE) / VLOOKUP("transport|NOx|Premature mortality", US_national_yearly!$D:$AM, 10, FALSE), 1)</f>
        <v>9.5197003443748662E-4</v>
      </c>
      <c r="T2" s="7">
        <f>$B2 * IFERROR(VLOOKUP("transport|NOx|Premature mortality", US_national_yearly!$D:$AM, 28, FALSE) / VLOOKUP("transport|NOx|Premature mortality", US_national_yearly!$D:$AM, 10, FALSE), 1)</f>
        <v>9.5628373264657475E-4</v>
      </c>
      <c r="U2" s="7">
        <f>$B2 * IFERROR(VLOOKUP("transport|NOx|Premature mortality", US_national_yearly!$D:$AM, 29, FALSE) / VLOOKUP("transport|NOx|Premature mortality", US_national_yearly!$D:$AM, 10, FALSE), 1)</f>
        <v>9.6059743085566266E-4</v>
      </c>
      <c r="V2" s="7">
        <f>$B2 * IFERROR(VLOOKUP("transport|NOx|Premature mortality", US_national_yearly!$D:$AM, 30, FALSE) / VLOOKUP("transport|NOx|Premature mortality", US_national_yearly!$D:$AM, 10, FALSE), 1)</f>
        <v>9.6491112906475058E-4</v>
      </c>
      <c r="W2" s="7">
        <f>$B2 * IFERROR(VLOOKUP("transport|NOx|Premature mortality", US_national_yearly!$D:$AM, 31, FALSE) / VLOOKUP("transport|NOx|Premature mortality", US_national_yearly!$D:$AM, 10, FALSE), 1)</f>
        <v>9.6922482727383871E-4</v>
      </c>
      <c r="X2" s="7">
        <f>$B2 * IFERROR(VLOOKUP("transport|NOx|Premature mortality", US_national_yearly!$D:$AM, 32, FALSE) / VLOOKUP("transport|NOx|Premature mortality", US_national_yearly!$D:$AM, 10, FALSE), 1)</f>
        <v>9.69374251303719E-4</v>
      </c>
      <c r="Y2" s="7">
        <f>$B2 * IFERROR(VLOOKUP("transport|NOx|Premature mortality", US_national_yearly!$D:$AM, 33, FALSE) / VLOOKUP("transport|NOx|Premature mortality", US_national_yearly!$D:$AM, 10, FALSE), 1)</f>
        <v>9.6952367533359918E-4</v>
      </c>
      <c r="Z2" s="7">
        <f>$B2 * IFERROR(VLOOKUP("transport|NOx|Premature mortality", US_national_yearly!$D:$AM, 34, FALSE) / VLOOKUP("transport|NOx|Premature mortality", US_national_yearly!$D:$AM, 10, FALSE), 1)</f>
        <v>9.6967309936347925E-4</v>
      </c>
      <c r="AA2" s="7">
        <f>$B2 * IFERROR(VLOOKUP("transport|NOx|Premature mortality", US_national_yearly!$D:$AM, 35, FALSE) / VLOOKUP("transport|NOx|Premature mortality", US_national_yearly!$D:$AM, 10, FALSE), 1)</f>
        <v>9.6982252339335964E-4</v>
      </c>
      <c r="AB2" s="7">
        <f>$B2 * IFERROR(VLOOKUP("transport|NOx|Premature mortality", US_national_yearly!$D:$AM, 36, FALSE) / VLOOKUP("transport|NOx|Premature mortality", US_national_yearly!$D:$AM, 10, FALSE), 1)</f>
        <v>9.6997194742323993E-4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1.7064621006590889E-6</v>
      </c>
      <c r="C3" s="7">
        <f>$B3 * IFERROR(VLOOKUP("transport|NOx|Infant mortality", US_national_yearly!$D:$AM, 11, FALSE) / VLOOKUP("transport|NOx|Infant mortality", US_national_yearly!$D:$AM, 10, FALSE), 1)</f>
        <v>1.6902037008075733E-6</v>
      </c>
      <c r="D3" s="7">
        <f>$B3 * IFERROR(VLOOKUP("transport|NOx|Infant mortality", US_national_yearly!$D:$AM, 12, FALSE) / VLOOKUP("transport|NOx|Infant mortality", US_national_yearly!$D:$AM, 10, FALSE), 1)</f>
        <v>1.6739453009560577E-6</v>
      </c>
      <c r="E3" s="7">
        <f>$B3 * IFERROR(VLOOKUP("transport|NOx|Infant mortality", US_national_yearly!$D:$AM, 13, FALSE) / VLOOKUP("transport|NOx|Infant mortality", US_national_yearly!$D:$AM, 10, FALSE), 1)</f>
        <v>1.6576869011045421E-6</v>
      </c>
      <c r="F3" s="7">
        <f>$B3 * IFERROR(VLOOKUP("transport|NOx|Infant mortality", US_national_yearly!$D:$AM, 14, FALSE) / VLOOKUP("transport|NOx|Infant mortality", US_national_yearly!$D:$AM, 10, FALSE), 1)</f>
        <v>1.6414285012530265E-6</v>
      </c>
      <c r="G3" s="7">
        <f>$B3 * IFERROR(VLOOKUP("transport|NOx|Infant mortality", US_national_yearly!$D:$AM, 15, FALSE) / VLOOKUP("transport|NOx|Infant mortality", US_national_yearly!$D:$AM, 10, FALSE), 1)</f>
        <v>1.0896612944840909E-6</v>
      </c>
      <c r="H3" s="7">
        <f>$B3 * IFERROR(VLOOKUP("transport|NOx|Infant mortality", US_national_yearly!$D:$AM, 16, FALSE) / VLOOKUP("transport|NOx|Infant mortality", US_national_yearly!$D:$AM, 10, FALSE), 1)</f>
        <v>5.3789408771515522E-7</v>
      </c>
      <c r="I3" s="7">
        <f>$B3 * IFERROR(VLOOKUP("transport|NOx|Infant mortality", US_national_yearly!$D:$AM, 17, FALSE) / VLOOKUP("transport|NOx|Infant mortality", US_national_yearly!$D:$AM, 10, FALSE), 1)</f>
        <v>5.3409066293164127E-7</v>
      </c>
      <c r="J3" s="7">
        <f>$B3 * IFERROR(VLOOKUP("transport|NOx|Infant mortality", US_national_yearly!$D:$AM, 18, FALSE) / VLOOKUP("transport|NOx|Infant mortality", US_national_yearly!$D:$AM, 10, FALSE), 1)</f>
        <v>5.3028723814812722E-7</v>
      </c>
      <c r="K3" s="7">
        <f>$B3 * IFERROR(VLOOKUP("transport|NOx|Infant mortality", US_national_yearly!$D:$AM, 19, FALSE) / VLOOKUP("transport|NOx|Infant mortality", US_national_yearly!$D:$AM, 10, FALSE), 1)</f>
        <v>5.2648381336461338E-7</v>
      </c>
      <c r="L3" s="7">
        <f>$B3 * IFERROR(VLOOKUP("transport|NOx|Infant mortality", US_national_yearly!$D:$AM, 20, FALSE) / VLOOKUP("transport|NOx|Infant mortality", US_national_yearly!$D:$AM, 10, FALSE), 1)</f>
        <v>5.2268038858109943E-7</v>
      </c>
      <c r="M3" s="7">
        <f>$B3 * IFERROR(VLOOKUP("transport|NOx|Infant mortality", US_national_yearly!$D:$AM, 21, FALSE) / VLOOKUP("transport|NOx|Infant mortality", US_national_yearly!$D:$AM, 10, FALSE), 1)</f>
        <v>5.1887696379758538E-7</v>
      </c>
      <c r="N3" s="7">
        <f>$B3 * IFERROR(VLOOKUP("transport|NOx|Infant mortality", US_national_yearly!$D:$AM, 22, FALSE) / VLOOKUP("transport|NOx|Infant mortality", US_national_yearly!$D:$AM, 10, FALSE), 1)</f>
        <v>5.1635240945692906E-7</v>
      </c>
      <c r="O3" s="7">
        <f>$B3 * IFERROR(VLOOKUP("transport|NOx|Infant mortality", US_national_yearly!$D:$AM, 23, FALSE) / VLOOKUP("transport|NOx|Infant mortality", US_national_yearly!$D:$AM, 10, FALSE), 1)</f>
        <v>5.1382785511627284E-7</v>
      </c>
      <c r="P3" s="7">
        <f>$B3 * IFERROR(VLOOKUP("transport|NOx|Infant mortality", US_national_yearly!$D:$AM, 24, FALSE) / VLOOKUP("transport|NOx|Infant mortality", US_national_yearly!$D:$AM, 10, FALSE), 1)</f>
        <v>5.1130330077561651E-7</v>
      </c>
      <c r="Q3" s="7">
        <f>$B3 * IFERROR(VLOOKUP("transport|NOx|Infant mortality", US_national_yearly!$D:$AM, 25, FALSE) / VLOOKUP("transport|NOx|Infant mortality", US_national_yearly!$D:$AM, 10, FALSE), 1)</f>
        <v>5.087787464349603E-7</v>
      </c>
      <c r="R3" s="7">
        <f>$B3 * IFERROR(VLOOKUP("transport|NOx|Infant mortality", US_national_yearly!$D:$AM, 26, FALSE) / VLOOKUP("transport|NOx|Infant mortality", US_national_yearly!$D:$AM, 10, FALSE), 1)</f>
        <v>5.0625419209430397E-7</v>
      </c>
      <c r="S3" s="7">
        <f>$B3 * IFERROR(VLOOKUP("transport|NOx|Infant mortality", US_national_yearly!$D:$AM, 27, FALSE) / VLOOKUP("transport|NOx|Infant mortality", US_national_yearly!$D:$AM, 10, FALSE), 1)</f>
        <v>5.0321927631254557E-7</v>
      </c>
      <c r="T3" s="7">
        <f>$B3 * IFERROR(VLOOKUP("transport|NOx|Infant mortality", US_national_yearly!$D:$AM, 28, FALSE) / VLOOKUP("transport|NOx|Infant mortality", US_national_yearly!$D:$AM, 10, FALSE), 1)</f>
        <v>5.0018436053078717E-7</v>
      </c>
      <c r="U3" s="7">
        <f>$B3 * IFERROR(VLOOKUP("transport|NOx|Infant mortality", US_national_yearly!$D:$AM, 29, FALSE) / VLOOKUP("transport|NOx|Infant mortality", US_national_yearly!$D:$AM, 10, FALSE), 1)</f>
        <v>4.9714944474902877E-7</v>
      </c>
      <c r="V3" s="7">
        <f>$B3 * IFERROR(VLOOKUP("transport|NOx|Infant mortality", US_national_yearly!$D:$AM, 30, FALSE) / VLOOKUP("transport|NOx|Infant mortality", US_national_yearly!$D:$AM, 10, FALSE), 1)</f>
        <v>4.9411452896727037E-7</v>
      </c>
      <c r="W3" s="7">
        <f>$B3 * IFERROR(VLOOKUP("transport|NOx|Infant mortality", US_national_yearly!$D:$AM, 31, FALSE) / VLOOKUP("transport|NOx|Infant mortality", US_national_yearly!$D:$AM, 10, FALSE), 1)</f>
        <v>4.9107961318551197E-7</v>
      </c>
      <c r="X3" s="7">
        <f>$B3 * IFERROR(VLOOKUP("transport|NOx|Infant mortality", US_national_yearly!$D:$AM, 32, FALSE) / VLOOKUP("transport|NOx|Infant mortality", US_national_yearly!$D:$AM, 10, FALSE), 1)</f>
        <v>4.8786549061009262E-7</v>
      </c>
      <c r="Y3" s="7">
        <f>$B3 * IFERROR(VLOOKUP("transport|NOx|Infant mortality", US_national_yearly!$D:$AM, 33, FALSE) / VLOOKUP("transport|NOx|Infant mortality", US_national_yearly!$D:$AM, 10, FALSE), 1)</f>
        <v>4.8465136803467327E-7</v>
      </c>
      <c r="Z3" s="7">
        <f>$B3 * IFERROR(VLOOKUP("transport|NOx|Infant mortality", US_national_yearly!$D:$AM, 34, FALSE) / VLOOKUP("transport|NOx|Infant mortality", US_national_yearly!$D:$AM, 10, FALSE), 1)</f>
        <v>4.8143724545925392E-7</v>
      </c>
      <c r="AA3" s="7">
        <f>$B3 * IFERROR(VLOOKUP("transport|NOx|Infant mortality", US_national_yearly!$D:$AM, 35, FALSE) / VLOOKUP("transport|NOx|Infant mortality", US_national_yearly!$D:$AM, 10, FALSE), 1)</f>
        <v>4.7822312288383457E-7</v>
      </c>
      <c r="AB3" s="7">
        <f>$B3 * IFERROR(VLOOKUP("transport|NOx|Infant mortality", US_national_yearly!$D:$AM, 36, FALSE) / VLOOKUP("transport|NOx|Infant mortality", US_national_yearly!$D:$AM, 10, FALSE), 1)</f>
        <v>4.7500900030841517E-7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1.6134709286756009E-3</v>
      </c>
      <c r="C6" s="7">
        <f>$B6 * IFERROR(VLOOKUP("transport|NOx|Asthma symptoms cough", US_national_yearly!$D:$AM, 11, FALSE) / VLOOKUP("transport|NOx|Asthma symptoms cough", US_national_yearly!$D:$AM, 10, FALSE), 1)</f>
        <v>1.6355297141911437E-3</v>
      </c>
      <c r="D6" s="7">
        <f>$B6 * IFERROR(VLOOKUP("transport|NOx|Asthma symptoms cough", US_national_yearly!$D:$AM, 12, FALSE) / VLOOKUP("transport|NOx|Asthma symptoms cough", US_national_yearly!$D:$AM, 10, FALSE), 1)</f>
        <v>1.6575884997066864E-3</v>
      </c>
      <c r="E6" s="7">
        <f>$B6 * IFERROR(VLOOKUP("transport|NOx|Asthma symptoms cough", US_national_yearly!$D:$AM, 13, FALSE) / VLOOKUP("transport|NOx|Asthma symptoms cough", US_national_yearly!$D:$AM, 10, FALSE), 1)</f>
        <v>1.6796472852222291E-3</v>
      </c>
      <c r="F6" s="7">
        <f>$B6 * IFERROR(VLOOKUP("transport|NOx|Asthma symptoms cough", US_national_yearly!$D:$AM, 14, FALSE) / VLOOKUP("transport|NOx|Asthma symptoms cough", US_national_yearly!$D:$AM, 10, FALSE), 1)</f>
        <v>1.7017060707377719E-3</v>
      </c>
      <c r="G6" s="7">
        <f>$B6 * IFERROR(VLOOKUP("transport|NOx|Asthma symptoms cough", US_national_yearly!$D:$AM, 15, FALSE) / VLOOKUP("transport|NOx|Asthma symptoms cough", US_national_yearly!$D:$AM, 10, FALSE), 1)</f>
        <v>1.7193169284649096E-3</v>
      </c>
      <c r="H6" s="7">
        <f>$B6 * IFERROR(VLOOKUP("transport|NOx|Asthma symptoms cough", US_national_yearly!$D:$AM, 16, FALSE) / VLOOKUP("transport|NOx|Asthma symptoms cough", US_national_yearly!$D:$AM, 10, FALSE), 1)</f>
        <v>1.736927786192048E-3</v>
      </c>
      <c r="I6" s="7">
        <f>$B6 * IFERROR(VLOOKUP("transport|NOx|Asthma symptoms cough", US_national_yearly!$D:$AM, 17, FALSE) / VLOOKUP("transport|NOx|Asthma symptoms cough", US_national_yearly!$D:$AM, 10, FALSE), 1)</f>
        <v>1.7429891916612864E-3</v>
      </c>
      <c r="J6" s="7">
        <f>$B6 * IFERROR(VLOOKUP("transport|NOx|Asthma symptoms cough", US_national_yearly!$D:$AM, 18, FALSE) / VLOOKUP("transport|NOx|Asthma symptoms cough", US_national_yearly!$D:$AM, 10, FALSE), 1)</f>
        <v>1.7490505971305252E-3</v>
      </c>
      <c r="K6" s="7">
        <f>$B6 * IFERROR(VLOOKUP("transport|NOx|Asthma symptoms cough", US_national_yearly!$D:$AM, 19, FALSE) / VLOOKUP("transport|NOx|Asthma symptoms cough", US_national_yearly!$D:$AM, 10, FALSE), 1)</f>
        <v>1.7551120025997636E-3</v>
      </c>
      <c r="L6" s="7">
        <f>$B6 * IFERROR(VLOOKUP("transport|NOx|Asthma symptoms cough", US_national_yearly!$D:$AM, 20, FALSE) / VLOOKUP("transport|NOx|Asthma symptoms cough", US_national_yearly!$D:$AM, 10, FALSE), 1)</f>
        <v>1.761173408069002E-3</v>
      </c>
      <c r="M6" s="7">
        <f>$B6 * IFERROR(VLOOKUP("transport|NOx|Asthma symptoms cough", US_national_yearly!$D:$AM, 21, FALSE) / VLOOKUP("transport|NOx|Asthma symptoms cough", US_national_yearly!$D:$AM, 10, FALSE), 1)</f>
        <v>1.7672348135382408E-3</v>
      </c>
      <c r="N6" s="7">
        <f>$B6 * IFERROR(VLOOKUP("transport|NOx|Asthma symptoms cough", US_national_yearly!$D:$AM, 22, FALSE) / VLOOKUP("transport|NOx|Asthma symptoms cough", US_national_yearly!$D:$AM, 10, FALSE), 1)</f>
        <v>1.7742634645561382E-3</v>
      </c>
      <c r="O6" s="7">
        <f>$B6 * IFERROR(VLOOKUP("transport|NOx|Asthma symptoms cough", US_national_yearly!$D:$AM, 23, FALSE) / VLOOKUP("transport|NOx|Asthma symptoms cough", US_national_yearly!$D:$AM, 10, FALSE), 1)</f>
        <v>1.7812921155740357E-3</v>
      </c>
      <c r="P6" s="7">
        <f>$B6 * IFERROR(VLOOKUP("transport|NOx|Asthma symptoms cough", US_national_yearly!$D:$AM, 24, FALSE) / VLOOKUP("transport|NOx|Asthma symptoms cough", US_national_yearly!$D:$AM, 10, FALSE), 1)</f>
        <v>1.7883207665919331E-3</v>
      </c>
      <c r="Q6" s="7">
        <f>$B6 * IFERROR(VLOOKUP("transport|NOx|Asthma symptoms cough", US_national_yearly!$D:$AM, 25, FALSE) / VLOOKUP("transport|NOx|Asthma symptoms cough", US_national_yearly!$D:$AM, 10, FALSE), 1)</f>
        <v>1.7953494176098307E-3</v>
      </c>
      <c r="R6" s="7">
        <f>$B6 * IFERROR(VLOOKUP("transport|NOx|Asthma symptoms cough", US_national_yearly!$D:$AM, 26, FALSE) / VLOOKUP("transport|NOx|Asthma symptoms cough", US_national_yearly!$D:$AM, 10, FALSE), 1)</f>
        <v>1.8023780686277282E-3</v>
      </c>
      <c r="S6" s="7">
        <f>$B6 * IFERROR(VLOOKUP("transport|NOx|Asthma symptoms cough", US_national_yearly!$D:$AM, 27, FALSE) / VLOOKUP("transport|NOx|Asthma symptoms cough", US_national_yearly!$D:$AM, 10, FALSE), 1)</f>
        <v>1.8115597254658635E-3</v>
      </c>
      <c r="T6" s="7">
        <f>$B6 * IFERROR(VLOOKUP("transport|NOx|Asthma symptoms cough", US_national_yearly!$D:$AM, 28, FALSE) / VLOOKUP("transport|NOx|Asthma symptoms cough", US_national_yearly!$D:$AM, 10, FALSE), 1)</f>
        <v>1.8207413823039986E-3</v>
      </c>
      <c r="U6" s="7">
        <f>$B6 * IFERROR(VLOOKUP("transport|NOx|Asthma symptoms cough", US_national_yearly!$D:$AM, 29, FALSE) / VLOOKUP("transport|NOx|Asthma symptoms cough", US_national_yearly!$D:$AM, 10, FALSE), 1)</f>
        <v>1.8299230391421331E-3</v>
      </c>
      <c r="V6" s="7">
        <f>$B6 * IFERROR(VLOOKUP("transport|NOx|Asthma symptoms cough", US_national_yearly!$D:$AM, 30, FALSE) / VLOOKUP("transport|NOx|Asthma symptoms cough", US_national_yearly!$D:$AM, 10, FALSE), 1)</f>
        <v>1.8391046959802685E-3</v>
      </c>
      <c r="W6" s="7">
        <f>$B6 * IFERROR(VLOOKUP("transport|NOx|Asthma symptoms cough", US_national_yearly!$D:$AM, 31, FALSE) / VLOOKUP("transport|NOx|Asthma symptoms cough", US_national_yearly!$D:$AM, 10, FALSE), 1)</f>
        <v>1.8482863528184034E-3</v>
      </c>
      <c r="X6" s="7">
        <f>$B6 * IFERROR(VLOOKUP("transport|NOx|Asthma symptoms cough", US_national_yearly!$D:$AM, 32, FALSE) / VLOOKUP("transport|NOx|Asthma symptoms cough", US_national_yearly!$D:$AM, 10, FALSE), 1)</f>
        <v>1.8568174312924223E-3</v>
      </c>
      <c r="Y6" s="7">
        <f>$B6 * IFERROR(VLOOKUP("transport|NOx|Asthma symptoms cough", US_national_yearly!$D:$AM, 33, FALSE) / VLOOKUP("transport|NOx|Asthma symptoms cough", US_national_yearly!$D:$AM, 10, FALSE), 1)</f>
        <v>1.8653485097664415E-3</v>
      </c>
      <c r="Z6" s="7">
        <f>$B6 * IFERROR(VLOOKUP("transport|NOx|Asthma symptoms cough", US_national_yearly!$D:$AM, 34, FALSE) / VLOOKUP("transport|NOx|Asthma symptoms cough", US_national_yearly!$D:$AM, 10, FALSE), 1)</f>
        <v>1.8738795882404604E-3</v>
      </c>
      <c r="AA6" s="7">
        <f>$B6 * IFERROR(VLOOKUP("transport|NOx|Asthma symptoms cough", US_national_yearly!$D:$AM, 35, FALSE) / VLOOKUP("transport|NOx|Asthma symptoms cough", US_national_yearly!$D:$AM, 10, FALSE), 1)</f>
        <v>1.8824106667144794E-3</v>
      </c>
      <c r="AB6" s="7">
        <f>$B6 * IFERROR(VLOOKUP("transport|NOx|Asthma symptoms cough", US_national_yearly!$D:$AM, 36, FALSE) / VLOOKUP("transport|NOx|Asthma symptoms cough", US_national_yearly!$D:$AM, 10, FALSE), 1)</f>
        <v>1.8909417451884987E-3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2.1727308143518562E-3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2.202435596835074E-3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2.2321403793182908E-3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2.2618451618015081E-3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2.2915499442847259E-3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2.3152650621140573E-3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2.3389801799433888E-3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2.3471425844341785E-3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2.3553049889249683E-3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2.363467393415758E-3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2.3716297979065478E-3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2.3797922023973375E-3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2.3892571182684238E-3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2.3987220341395105E-3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2.4081869500105968E-3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2.4176518658816835E-3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2.4271167817527702E-3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2.4394809764684256E-3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2.4518451711840815E-3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2.4642093658997369E-3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2.4765735606153919E-3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2.4889377553310478E-3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2.5004258687704116E-3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2.5119139822097755E-3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2.5234020956491398E-3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2.5348902090885036E-3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2.5463783225278674E-3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3.3197139250960407E-3</v>
      </c>
      <c r="C8" s="7">
        <f>$B8 * IFERROR(VLOOKUP("transport|NOx|Asthma symptoms wheeze", US_national_yearly!$D:$AM, 11, FALSE) / VLOOKUP("transport|NOx|Asthma symptoms wheeze", US_national_yearly!$D:$AM, 10, FALSE), 1)</f>
        <v>3.3650998420321097E-3</v>
      </c>
      <c r="D8" s="7">
        <f>$B8 * IFERROR(VLOOKUP("transport|NOx|Asthma symptoms wheeze", US_national_yearly!$D:$AM, 12, FALSE) / VLOOKUP("transport|NOx|Asthma symptoms wheeze", US_national_yearly!$D:$AM, 10, FALSE), 1)</f>
        <v>3.41048575896818E-3</v>
      </c>
      <c r="E8" s="7">
        <f>$B8 * IFERROR(VLOOKUP("transport|NOx|Asthma symptoms wheeze", US_national_yearly!$D:$AM, 13, FALSE) / VLOOKUP("transport|NOx|Asthma symptoms wheeze", US_national_yearly!$D:$AM, 10, FALSE), 1)</f>
        <v>3.4558716759042489E-3</v>
      </c>
      <c r="F8" s="7">
        <f>$B8 * IFERROR(VLOOKUP("transport|NOx|Asthma symptoms wheeze", US_national_yearly!$D:$AM, 14, FALSE) / VLOOKUP("transport|NOx|Asthma symptoms wheeze", US_national_yearly!$D:$AM, 10, FALSE), 1)</f>
        <v>3.5012575928403179E-3</v>
      </c>
      <c r="G8" s="7">
        <f>$B8 * IFERROR(VLOOKUP("transport|NOx|Asthma symptoms wheeze", US_national_yearly!$D:$AM, 15, FALSE) / VLOOKUP("transport|NOx|Asthma symptoms wheeze", US_national_yearly!$D:$AM, 10, FALSE), 1)</f>
        <v>3.5374919052873514E-3</v>
      </c>
      <c r="H8" s="7">
        <f>$B8 * IFERROR(VLOOKUP("transport|NOx|Asthma symptoms wheeze", US_national_yearly!$D:$AM, 16, FALSE) / VLOOKUP("transport|NOx|Asthma symptoms wheeze", US_national_yearly!$D:$AM, 10, FALSE), 1)</f>
        <v>3.5737262177343845E-3</v>
      </c>
      <c r="I8" s="7">
        <f>$B8 * IFERROR(VLOOKUP("transport|NOx|Asthma symptoms wheeze", US_national_yearly!$D:$AM, 17, FALSE) / VLOOKUP("transport|NOx|Asthma symptoms wheeze", US_national_yearly!$D:$AM, 10, FALSE), 1)</f>
        <v>3.5861975501279941E-3</v>
      </c>
      <c r="J8" s="7">
        <f>$B8 * IFERROR(VLOOKUP("transport|NOx|Asthma symptoms wheeze", US_national_yearly!$D:$AM, 18, FALSE) / VLOOKUP("transport|NOx|Asthma symptoms wheeze", US_national_yearly!$D:$AM, 10, FALSE), 1)</f>
        <v>3.5986688825216042E-3</v>
      </c>
      <c r="K8" s="7">
        <f>$B8 * IFERROR(VLOOKUP("transport|NOx|Asthma symptoms wheeze", US_national_yearly!$D:$AM, 19, FALSE) / VLOOKUP("transport|NOx|Asthma symptoms wheeze", US_national_yearly!$D:$AM, 10, FALSE), 1)</f>
        <v>3.6111402149152129E-3</v>
      </c>
      <c r="L8" s="7">
        <f>$B8 * IFERROR(VLOOKUP("transport|NOx|Asthma symptoms wheeze", US_national_yearly!$D:$AM, 20, FALSE) / VLOOKUP("transport|NOx|Asthma symptoms wheeze", US_national_yearly!$D:$AM, 10, FALSE), 1)</f>
        <v>3.6236115473088229E-3</v>
      </c>
      <c r="M8" s="7">
        <f>$B8 * IFERROR(VLOOKUP("transport|NOx|Asthma symptoms wheeze", US_national_yearly!$D:$AM, 21, FALSE) / VLOOKUP("transport|NOx|Asthma symptoms wheeze", US_national_yearly!$D:$AM, 10, FALSE), 1)</f>
        <v>3.6360828797024325E-3</v>
      </c>
      <c r="N8" s="7">
        <f>$B8 * IFERROR(VLOOKUP("transport|NOx|Asthma symptoms wheeze", US_national_yearly!$D:$AM, 22, FALSE) / VLOOKUP("transport|NOx|Asthma symptoms wheeze", US_national_yearly!$D:$AM, 10, FALSE), 1)</f>
        <v>3.6505443183246643E-3</v>
      </c>
      <c r="O8" s="7">
        <f>$B8 * IFERROR(VLOOKUP("transport|NOx|Asthma symptoms wheeze", US_national_yearly!$D:$AM, 23, FALSE) / VLOOKUP("transport|NOx|Asthma symptoms wheeze", US_national_yearly!$D:$AM, 10, FALSE), 1)</f>
        <v>3.6650057569468973E-3</v>
      </c>
      <c r="P8" s="7">
        <f>$B8 * IFERROR(VLOOKUP("transport|NOx|Asthma symptoms wheeze", US_national_yearly!$D:$AM, 24, FALSE) / VLOOKUP("transport|NOx|Asthma symptoms wheeze", US_national_yearly!$D:$AM, 10, FALSE), 1)</f>
        <v>3.6794671955691291E-3</v>
      </c>
      <c r="Q8" s="7">
        <f>$B8 * IFERROR(VLOOKUP("transport|NOx|Asthma symptoms wheeze", US_national_yearly!$D:$AM, 25, FALSE) / VLOOKUP("transport|NOx|Asthma symptoms wheeze", US_national_yearly!$D:$AM, 10, FALSE), 1)</f>
        <v>3.6939286341913622E-3</v>
      </c>
      <c r="R8" s="7">
        <f>$B8 * IFERROR(VLOOKUP("transport|NOx|Asthma symptoms wheeze", US_national_yearly!$D:$AM, 26, FALSE) / VLOOKUP("transport|NOx|Asthma symptoms wheeze", US_national_yearly!$D:$AM, 10, FALSE), 1)</f>
        <v>3.7083900728135939E-3</v>
      </c>
      <c r="S8" s="7">
        <f>$B8 * IFERROR(VLOOKUP("transport|NOx|Asthma symptoms wheeze", US_national_yearly!$D:$AM, 27, FALSE) / VLOOKUP("transport|NOx|Asthma symptoms wheeze", US_national_yearly!$D:$AM, 10, FALSE), 1)</f>
        <v>3.7272813175771098E-3</v>
      </c>
      <c r="T8" s="7">
        <f>$B8 * IFERROR(VLOOKUP("transport|NOx|Asthma symptoms wheeze", US_national_yearly!$D:$AM, 28, FALSE) / VLOOKUP("transport|NOx|Asthma symptoms wheeze", US_national_yearly!$D:$AM, 10, FALSE), 1)</f>
        <v>3.7461725623406258E-3</v>
      </c>
      <c r="U8" s="7">
        <f>$B8 * IFERROR(VLOOKUP("transport|NOx|Asthma symptoms wheeze", US_national_yearly!$D:$AM, 29, FALSE) / VLOOKUP("transport|NOx|Asthma symptoms wheeze", US_national_yearly!$D:$AM, 10, FALSE), 1)</f>
        <v>3.7650638071041417E-3</v>
      </c>
      <c r="V8" s="7">
        <f>$B8 * IFERROR(VLOOKUP("transport|NOx|Asthma symptoms wheeze", US_national_yearly!$D:$AM, 30, FALSE) / VLOOKUP("transport|NOx|Asthma symptoms wheeze", US_national_yearly!$D:$AM, 10, FALSE), 1)</f>
        <v>3.783955051867658E-3</v>
      </c>
      <c r="W8" s="7">
        <f>$B8 * IFERROR(VLOOKUP("transport|NOx|Asthma symptoms wheeze", US_national_yearly!$D:$AM, 31, FALSE) / VLOOKUP("transport|NOx|Asthma symptoms wheeze", US_national_yearly!$D:$AM, 10, FALSE), 1)</f>
        <v>3.8028462966311731E-3</v>
      </c>
      <c r="X8" s="7">
        <f>$B8 * IFERROR(VLOOKUP("transport|NOx|Asthma symptoms wheeze", US_national_yearly!$D:$AM, 32, FALSE) / VLOOKUP("transport|NOx|Asthma symptoms wheeze", US_national_yearly!$D:$AM, 10, FALSE), 1)</f>
        <v>3.8203989774093661E-3</v>
      </c>
      <c r="Y8" s="7">
        <f>$B8 * IFERROR(VLOOKUP("transport|NOx|Asthma symptoms wheeze", US_national_yearly!$D:$AM, 33, FALSE) / VLOOKUP("transport|NOx|Asthma symptoms wheeze", US_national_yearly!$D:$AM, 10, FALSE), 1)</f>
        <v>3.8379516581875587E-3</v>
      </c>
      <c r="Z8" s="7">
        <f>$B8 * IFERROR(VLOOKUP("transport|NOx|Asthma symptoms wheeze", US_national_yearly!$D:$AM, 34, FALSE) / VLOOKUP("transport|NOx|Asthma symptoms wheeze", US_national_yearly!$D:$AM, 10, FALSE), 1)</f>
        <v>3.8555043389657518E-3</v>
      </c>
      <c r="AA8" s="7">
        <f>$B8 * IFERROR(VLOOKUP("transport|NOx|Asthma symptoms wheeze", US_national_yearly!$D:$AM, 35, FALSE) / VLOOKUP("transport|NOx|Asthma symptoms wheeze", US_national_yearly!$D:$AM, 10, FALSE), 1)</f>
        <v>3.873057019743944E-3</v>
      </c>
      <c r="AB8" s="7">
        <f>$B8 * IFERROR(VLOOKUP("transport|NOx|Asthma symptoms wheeze", US_national_yearly!$D:$AM, 36, FALSE) / VLOOKUP("transport|NOx|Asthma symptoms wheeze", US_national_yearly!$D:$AM, 10, FALSE), 1)</f>
        <v>3.890609700522137E-3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4.7602282498489536E-5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4.8789705474492439E-5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4.997712845049535E-5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5.1164551426498267E-5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5.2351974402501178E-5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5.3487191182627243E-5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5.4622407962753308E-5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5.5586230346775548E-5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5.6550052730797768E-5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5.7513875114820009E-5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5.8477697498842242E-5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5.9441519882864476E-5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6.0085852499780653E-5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6.0730185116696856E-5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6.1374517733613047E-5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6.2018850350529237E-5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6.2663182967445427E-5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6.300839892419758E-5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6.3353614880949747E-5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6.36988308377019E-5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6.4044046794454039E-5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6.4389262751206205E-5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6.4625173008402647E-5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6.4861083265599088E-5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6.5096993522795543E-5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6.5332903779991984E-5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6.5568814037188426E-5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2.9656835899205769E-4</v>
      </c>
      <c r="C13" s="7">
        <f>$B13 * IFERROR(VLOOKUP("transport|NOx|Non-fatal heart attacks", US_national_yearly!$D:$AM, 11, FALSE) / VLOOKUP("transport|NOx|Non-fatal heart attacks", US_national_yearly!$D:$AM, 10, FALSE), 1)</f>
        <v>3.0504698708224521E-4</v>
      </c>
      <c r="D13" s="7">
        <f>$B13 * IFERROR(VLOOKUP("transport|NOx|Non-fatal heart attacks", US_national_yearly!$D:$AM, 12, FALSE) / VLOOKUP("transport|NOx|Non-fatal heart attacks", US_national_yearly!$D:$AM, 10, FALSE), 1)</f>
        <v>3.1352561517243273E-4</v>
      </c>
      <c r="E13" s="7">
        <f>$B13 * IFERROR(VLOOKUP("transport|NOx|Non-fatal heart attacks", US_national_yearly!$D:$AM, 13, FALSE) / VLOOKUP("transport|NOx|Non-fatal heart attacks", US_national_yearly!$D:$AM, 10, FALSE), 1)</f>
        <v>3.220042432626202E-4</v>
      </c>
      <c r="F13" s="7">
        <f>$B13 * IFERROR(VLOOKUP("transport|NOx|Non-fatal heart attacks", US_national_yearly!$D:$AM, 14, FALSE) / VLOOKUP("transport|NOx|Non-fatal heart attacks", US_national_yearly!$D:$AM, 10, FALSE), 1)</f>
        <v>3.3048287135280778E-4</v>
      </c>
      <c r="G13" s="7">
        <f>$B13 * IFERROR(VLOOKUP("transport|NOx|Non-fatal heart attacks", US_national_yearly!$D:$AM, 15, FALSE) / VLOOKUP("transport|NOx|Non-fatal heart attacks", US_national_yearly!$D:$AM, 10, FALSE), 1)</f>
        <v>3.3840613168155577E-4</v>
      </c>
      <c r="H13" s="7">
        <f>$B13 * IFERROR(VLOOKUP("transport|NOx|Non-fatal heart attacks", US_national_yearly!$D:$AM, 16, FALSE) / VLOOKUP("transport|NOx|Non-fatal heart attacks", US_national_yearly!$D:$AM, 10, FALSE), 1)</f>
        <v>3.4632939201030376E-4</v>
      </c>
      <c r="I13" s="7">
        <f>$B13 * IFERROR(VLOOKUP("transport|NOx|Non-fatal heart attacks", US_national_yearly!$D:$AM, 17, FALSE) / VLOOKUP("transport|NOx|Non-fatal heart attacks", US_national_yearly!$D:$AM, 10, FALSE), 1)</f>
        <v>3.5257597706438707E-4</v>
      </c>
      <c r="J13" s="7">
        <f>$B13 * IFERROR(VLOOKUP("transport|NOx|Non-fatal heart attacks", US_national_yearly!$D:$AM, 18, FALSE) / VLOOKUP("transport|NOx|Non-fatal heart attacks", US_national_yearly!$D:$AM, 10, FALSE), 1)</f>
        <v>3.5882256211847049E-4</v>
      </c>
      <c r="K13" s="7">
        <f>$B13 * IFERROR(VLOOKUP("transport|NOx|Non-fatal heart attacks", US_national_yearly!$D:$AM, 19, FALSE) / VLOOKUP("transport|NOx|Non-fatal heart attacks", US_national_yearly!$D:$AM, 10, FALSE), 1)</f>
        <v>3.6506914717255359E-4</v>
      </c>
      <c r="L13" s="7">
        <f>$B13 * IFERROR(VLOOKUP("transport|NOx|Non-fatal heart attacks", US_national_yearly!$D:$AM, 20, FALSE) / VLOOKUP("transport|NOx|Non-fatal heart attacks", US_national_yearly!$D:$AM, 10, FALSE), 1)</f>
        <v>3.7131573222663722E-4</v>
      </c>
      <c r="M13" s="7">
        <f>$B13 * IFERROR(VLOOKUP("transport|NOx|Non-fatal heart attacks", US_national_yearly!$D:$AM, 21, FALSE) / VLOOKUP("transport|NOx|Non-fatal heart attacks", US_national_yearly!$D:$AM, 10, FALSE), 1)</f>
        <v>3.7756231728072048E-4</v>
      </c>
      <c r="N13" s="7">
        <f>$B13 * IFERROR(VLOOKUP("transport|NOx|Non-fatal heart attacks", US_national_yearly!$D:$AM, 22, FALSE) / VLOOKUP("transport|NOx|Non-fatal heart attacks", US_national_yearly!$D:$AM, 10, FALSE), 1)</f>
        <v>3.8132045228680424E-4</v>
      </c>
      <c r="O13" s="7">
        <f>$B13 * IFERROR(VLOOKUP("transport|NOx|Non-fatal heart attacks", US_national_yearly!$D:$AM, 23, FALSE) / VLOOKUP("transport|NOx|Non-fatal heart attacks", US_national_yearly!$D:$AM, 10, FALSE), 1)</f>
        <v>3.85078587292888E-4</v>
      </c>
      <c r="P13" s="7">
        <f>$B13 * IFERROR(VLOOKUP("transport|NOx|Non-fatal heart attacks", US_national_yearly!$D:$AM, 24, FALSE) / VLOOKUP("transport|NOx|Non-fatal heart attacks", US_national_yearly!$D:$AM, 10, FALSE), 1)</f>
        <v>3.8883672229897171E-4</v>
      </c>
      <c r="Q13" s="7">
        <f>$B13 * IFERROR(VLOOKUP("transport|NOx|Non-fatal heart attacks", US_national_yearly!$D:$AM, 25, FALSE) / VLOOKUP("transport|NOx|Non-fatal heart attacks", US_national_yearly!$D:$AM, 10, FALSE), 1)</f>
        <v>3.9259485730505558E-4</v>
      </c>
      <c r="R13" s="7">
        <f>$B13 * IFERROR(VLOOKUP("transport|NOx|Non-fatal heart attacks", US_national_yearly!$D:$AM, 26, FALSE) / VLOOKUP("transport|NOx|Non-fatal heart attacks", US_national_yearly!$D:$AM, 10, FALSE), 1)</f>
        <v>3.9635299231113933E-4</v>
      </c>
      <c r="S13" s="7">
        <f>$B13 * IFERROR(VLOOKUP("transport|NOx|Non-fatal heart attacks", US_national_yearly!$D:$AM, 27, FALSE) / VLOOKUP("transport|NOx|Non-fatal heart attacks", US_national_yearly!$D:$AM, 10, FALSE), 1)</f>
        <v>3.9805770834255871E-4</v>
      </c>
      <c r="T13" s="7">
        <f>$B13 * IFERROR(VLOOKUP("transport|NOx|Non-fatal heart attacks", US_national_yearly!$D:$AM, 28, FALSE) / VLOOKUP("transport|NOx|Non-fatal heart attacks", US_national_yearly!$D:$AM, 10, FALSE), 1)</f>
        <v>3.9976242437397808E-4</v>
      </c>
      <c r="U13" s="7">
        <f>$B13 * IFERROR(VLOOKUP("transport|NOx|Non-fatal heart attacks", US_national_yearly!$D:$AM, 29, FALSE) / VLOOKUP("transport|NOx|Non-fatal heart attacks", US_national_yearly!$D:$AM, 10, FALSE), 1)</f>
        <v>4.0146714040539746E-4</v>
      </c>
      <c r="V13" s="7">
        <f>$B13 * IFERROR(VLOOKUP("transport|NOx|Non-fatal heart attacks", US_national_yearly!$D:$AM, 30, FALSE) / VLOOKUP("transport|NOx|Non-fatal heart attacks", US_national_yearly!$D:$AM, 10, FALSE), 1)</f>
        <v>4.0317185643681683E-4</v>
      </c>
      <c r="W13" s="7">
        <f>$B13 * IFERROR(VLOOKUP("transport|NOx|Non-fatal heart attacks", US_national_yearly!$D:$AM, 31, FALSE) / VLOOKUP("transport|NOx|Non-fatal heart attacks", US_national_yearly!$D:$AM, 10, FALSE), 1)</f>
        <v>4.048765724682362E-4</v>
      </c>
      <c r="X13" s="7">
        <f>$B13 * IFERROR(VLOOKUP("transport|NOx|Non-fatal heart attacks", US_national_yearly!$D:$AM, 32, FALSE) / VLOOKUP("transport|NOx|Non-fatal heart attacks", US_national_yearly!$D:$AM, 10, FALSE), 1)</f>
        <v>4.0601575341953761E-4</v>
      </c>
      <c r="Y13" s="7">
        <f>$B13 * IFERROR(VLOOKUP("transport|NOx|Non-fatal heart attacks", US_national_yearly!$D:$AM, 33, FALSE) / VLOOKUP("transport|NOx|Non-fatal heart attacks", US_national_yearly!$D:$AM, 10, FALSE), 1)</f>
        <v>4.0715493437083912E-4</v>
      </c>
      <c r="Z13" s="7">
        <f>$B13 * IFERROR(VLOOKUP("transport|NOx|Non-fatal heart attacks", US_national_yearly!$D:$AM, 34, FALSE) / VLOOKUP("transport|NOx|Non-fatal heart attacks", US_national_yearly!$D:$AM, 10, FALSE), 1)</f>
        <v>4.0829411532214042E-4</v>
      </c>
      <c r="AA13" s="7">
        <f>$B13 * IFERROR(VLOOKUP("transport|NOx|Non-fatal heart attacks", US_national_yearly!$D:$AM, 35, FALSE) / VLOOKUP("transport|NOx|Non-fatal heart attacks", US_national_yearly!$D:$AM, 10, FALSE), 1)</f>
        <v>4.0943329627344188E-4</v>
      </c>
      <c r="AB13" s="7">
        <f>$B13 * IFERROR(VLOOKUP("transport|NOx|Non-fatal heart attacks", US_national_yearly!$D:$AM, 36, FALSE) / VLOOKUP("transport|NOx|Non-fatal heart attacks", US_national_yearly!$D:$AM, 10, FALSE), 1)</f>
        <v>4.1057247722474334E-4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0.20368641039841248</v>
      </c>
      <c r="C14" s="7">
        <f>$B14 * IFERROR(VLOOKUP("transport|NOx|Minor restricted activity days", US_national_yearly!$D:$AM, 11, FALSE) / VLOOKUP("transport|NOx|Minor restricted activity days", US_national_yearly!$D:$AM, 10, FALSE), 1)</f>
        <v>0.20399869584792604</v>
      </c>
      <c r="D14" s="7">
        <f>$B14 * IFERROR(VLOOKUP("transport|NOx|Minor restricted activity days", US_national_yearly!$D:$AM, 12, FALSE) / VLOOKUP("transport|NOx|Minor restricted activity days", US_national_yearly!$D:$AM, 10, FALSE), 1)</f>
        <v>0.20431098129743963</v>
      </c>
      <c r="E14" s="7">
        <f>$B14 * IFERROR(VLOOKUP("transport|NOx|Minor restricted activity days", US_national_yearly!$D:$AM, 13, FALSE) / VLOOKUP("transport|NOx|Minor restricted activity days", US_national_yearly!$D:$AM, 10, FALSE), 1)</f>
        <v>0.20462326674695322</v>
      </c>
      <c r="F14" s="7">
        <f>$B14 * IFERROR(VLOOKUP("transport|NOx|Minor restricted activity days", US_national_yearly!$D:$AM, 14, FALSE) / VLOOKUP("transport|NOx|Minor restricted activity days", US_national_yearly!$D:$AM, 10, FALSE), 1)</f>
        <v>0.20493555219646675</v>
      </c>
      <c r="G14" s="7">
        <f>$B14 * IFERROR(VLOOKUP("transport|NOx|Minor restricted activity days", US_national_yearly!$D:$AM, 15, FALSE) / VLOOKUP("transport|NOx|Minor restricted activity days", US_national_yearly!$D:$AM, 10, FALSE), 1)</f>
        <v>0.20549946538796418</v>
      </c>
      <c r="H14" s="7">
        <f>$B14 * IFERROR(VLOOKUP("transport|NOx|Minor restricted activity days", US_national_yearly!$D:$AM, 16, FALSE) / VLOOKUP("transport|NOx|Minor restricted activity days", US_national_yearly!$D:$AM, 10, FALSE), 1)</f>
        <v>0.20606337857946155</v>
      </c>
      <c r="I14" s="7">
        <f>$B14 * IFERROR(VLOOKUP("transport|NOx|Minor restricted activity days", US_national_yearly!$D:$AM, 17, FALSE) / VLOOKUP("transport|NOx|Minor restricted activity days", US_national_yearly!$D:$AM, 10, FALSE), 1)</f>
        <v>0.20716637048259542</v>
      </c>
      <c r="J14" s="7">
        <f>$B14 * IFERROR(VLOOKUP("transport|NOx|Minor restricted activity days", US_national_yearly!$D:$AM, 18, FALSE) / VLOOKUP("transport|NOx|Minor restricted activity days", US_national_yearly!$D:$AM, 10, FALSE), 1)</f>
        <v>0.2082693623857293</v>
      </c>
      <c r="K14" s="7">
        <f>$B14 * IFERROR(VLOOKUP("transport|NOx|Minor restricted activity days", US_national_yearly!$D:$AM, 19, FALSE) / VLOOKUP("transport|NOx|Minor restricted activity days", US_national_yearly!$D:$AM, 10, FALSE), 1)</f>
        <v>0.20937235428886317</v>
      </c>
      <c r="L14" s="7">
        <f>$B14 * IFERROR(VLOOKUP("transport|NOx|Minor restricted activity days", US_national_yearly!$D:$AM, 20, FALSE) / VLOOKUP("transport|NOx|Minor restricted activity days", US_national_yearly!$D:$AM, 10, FALSE), 1)</f>
        <v>0.21047534619199701</v>
      </c>
      <c r="M14" s="7">
        <f>$B14 * IFERROR(VLOOKUP("transport|NOx|Minor restricted activity days", US_national_yearly!$D:$AM, 21, FALSE) / VLOOKUP("transport|NOx|Minor restricted activity days", US_national_yearly!$D:$AM, 10, FALSE), 1)</f>
        <v>0.21157833809513091</v>
      </c>
      <c r="N14" s="7">
        <f>$B14 * IFERROR(VLOOKUP("transport|NOx|Minor restricted activity days", US_national_yearly!$D:$AM, 22, FALSE) / VLOOKUP("transport|NOx|Minor restricted activity days", US_national_yearly!$D:$AM, 10, FALSE), 1)</f>
        <v>0.21315757240242159</v>
      </c>
      <c r="O14" s="7">
        <f>$B14 * IFERROR(VLOOKUP("transport|NOx|Minor restricted activity days", US_national_yearly!$D:$AM, 23, FALSE) / VLOOKUP("transport|NOx|Minor restricted activity days", US_national_yearly!$D:$AM, 10, FALSE), 1)</f>
        <v>0.21473680670971224</v>
      </c>
      <c r="P14" s="7">
        <f>$B14 * IFERROR(VLOOKUP("transport|NOx|Minor restricted activity days", US_national_yearly!$D:$AM, 24, FALSE) / VLOOKUP("transport|NOx|Minor restricted activity days", US_national_yearly!$D:$AM, 10, FALSE), 1)</f>
        <v>0.21631604101700291</v>
      </c>
      <c r="Q14" s="7">
        <f>$B14 * IFERROR(VLOOKUP("transport|NOx|Minor restricted activity days", US_national_yearly!$D:$AM, 25, FALSE) / VLOOKUP("transport|NOx|Minor restricted activity days", US_national_yearly!$D:$AM, 10, FALSE), 1)</f>
        <v>0.21789527532429356</v>
      </c>
      <c r="R14" s="7">
        <f>$B14 * IFERROR(VLOOKUP("transport|NOx|Minor restricted activity days", US_national_yearly!$D:$AM, 26, FALSE) / VLOOKUP("transport|NOx|Minor restricted activity days", US_national_yearly!$D:$AM, 10, FALSE), 1)</f>
        <v>0.21947450963158424</v>
      </c>
      <c r="S14" s="7">
        <f>$B14 * IFERROR(VLOOKUP("transport|NOx|Minor restricted activity days", US_national_yearly!$D:$AM, 27, FALSE) / VLOOKUP("transport|NOx|Minor restricted activity days", US_national_yearly!$D:$AM, 10, FALSE), 1)</f>
        <v>0.2210534119082419</v>
      </c>
      <c r="T14" s="7">
        <f>$B14 * IFERROR(VLOOKUP("transport|NOx|Minor restricted activity days", US_national_yearly!$D:$AM, 28, FALSE) / VLOOKUP("transport|NOx|Minor restricted activity days", US_national_yearly!$D:$AM, 10, FALSE), 1)</f>
        <v>0.22263231418489951</v>
      </c>
      <c r="U14" s="7">
        <f>$B14 * IFERROR(VLOOKUP("transport|NOx|Minor restricted activity days", US_national_yearly!$D:$AM, 29, FALSE) / VLOOKUP("transport|NOx|Minor restricted activity days", US_national_yearly!$D:$AM, 10, FALSE), 1)</f>
        <v>0.22421121646155717</v>
      </c>
      <c r="V14" s="7">
        <f>$B14 * IFERROR(VLOOKUP("transport|NOx|Minor restricted activity days", US_national_yearly!$D:$AM, 30, FALSE) / VLOOKUP("transport|NOx|Minor restricted activity days", US_national_yearly!$D:$AM, 10, FALSE), 1)</f>
        <v>0.22579011873821483</v>
      </c>
      <c r="W14" s="7">
        <f>$B14 * IFERROR(VLOOKUP("transport|NOx|Minor restricted activity days", US_national_yearly!$D:$AM, 31, FALSE) / VLOOKUP("transport|NOx|Minor restricted activity days", US_national_yearly!$D:$AM, 10, FALSE), 1)</f>
        <v>0.22736902101487247</v>
      </c>
      <c r="X14" s="7">
        <f>$B14 * IFERROR(VLOOKUP("transport|NOx|Minor restricted activity days", US_national_yearly!$D:$AM, 32, FALSE) / VLOOKUP("transport|NOx|Minor restricted activity days", US_national_yearly!$D:$AM, 10, FALSE), 1)</f>
        <v>0.22870392274019399</v>
      </c>
      <c r="Y14" s="7">
        <f>$B14 * IFERROR(VLOOKUP("transport|NOx|Minor restricted activity days", US_national_yearly!$D:$AM, 33, FALSE) / VLOOKUP("transport|NOx|Minor restricted activity days", US_national_yearly!$D:$AM, 10, FALSE), 1)</f>
        <v>0.23003882446551552</v>
      </c>
      <c r="Z14" s="7">
        <f>$B14 * IFERROR(VLOOKUP("transport|NOx|Minor restricted activity days", US_national_yearly!$D:$AM, 34, FALSE) / VLOOKUP("transport|NOx|Minor restricted activity days", US_national_yearly!$D:$AM, 10, FALSE), 1)</f>
        <v>0.23137372619083707</v>
      </c>
      <c r="AA14" s="7">
        <f>$B14 * IFERROR(VLOOKUP("transport|NOx|Minor restricted activity days", US_national_yearly!$D:$AM, 35, FALSE) / VLOOKUP("transport|NOx|Minor restricted activity days", US_national_yearly!$D:$AM, 10, FALSE), 1)</f>
        <v>0.23270862791615859</v>
      </c>
      <c r="AB14" s="7">
        <f>$B14 * IFERROR(VLOOKUP("transport|NOx|Minor restricted activity days", US_national_yearly!$D:$AM, 36, FALSE) / VLOOKUP("transport|NOx|Minor restricted activity days", US_national_yearly!$D:$AM, 10, FALSE), 1)</f>
        <v>0.23404352964148012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3.4415194120602614E-2</v>
      </c>
      <c r="C15" s="7">
        <f>$B15 * IFERROR(VLOOKUP("transport|NOx|Work loss days", US_national_yearly!$D:$AM, 11, FALSE) / VLOOKUP("transport|NOx|Work loss days", US_national_yearly!$D:$AM, 10, FALSE), 1)</f>
        <v>3.4491748868503404E-2</v>
      </c>
      <c r="D15" s="7">
        <f>$B15 * IFERROR(VLOOKUP("transport|NOx|Work loss days", US_national_yearly!$D:$AM, 12, FALSE) / VLOOKUP("transport|NOx|Work loss days", US_national_yearly!$D:$AM, 10, FALSE), 1)</f>
        <v>3.45683036164042E-2</v>
      </c>
      <c r="E15" s="7">
        <f>$B15 * IFERROR(VLOOKUP("transport|NOx|Work loss days", US_national_yearly!$D:$AM, 13, FALSE) / VLOOKUP("transport|NOx|Work loss days", US_national_yearly!$D:$AM, 10, FALSE), 1)</f>
        <v>3.4644858364304983E-2</v>
      </c>
      <c r="F15" s="7">
        <f>$B15 * IFERROR(VLOOKUP("transport|NOx|Work loss days", US_national_yearly!$D:$AM, 14, FALSE) / VLOOKUP("transport|NOx|Work loss days", US_national_yearly!$D:$AM, 10, FALSE), 1)</f>
        <v>3.4721413112205779E-2</v>
      </c>
      <c r="G15" s="7">
        <f>$B15 * IFERROR(VLOOKUP("transport|NOx|Work loss days", US_national_yearly!$D:$AM, 15, FALSE) / VLOOKUP("transport|NOx|Work loss days", US_national_yearly!$D:$AM, 10, FALSE), 1)</f>
        <v>3.4833183697186923E-2</v>
      </c>
      <c r="H15" s="7">
        <f>$B15 * IFERROR(VLOOKUP("transport|NOx|Work loss days", US_national_yearly!$D:$AM, 16, FALSE) / VLOOKUP("transport|NOx|Work loss days", US_national_yearly!$D:$AM, 10, FALSE), 1)</f>
        <v>3.4944954282168074E-2</v>
      </c>
      <c r="I15" s="7">
        <f>$B15 * IFERROR(VLOOKUP("transport|NOx|Work loss days", US_national_yearly!$D:$AM, 17, FALSE) / VLOOKUP("transport|NOx|Work loss days", US_national_yearly!$D:$AM, 10, FALSE), 1)</f>
        <v>3.5126016572294687E-2</v>
      </c>
      <c r="J15" s="7">
        <f>$B15 * IFERROR(VLOOKUP("transport|NOx|Work loss days", US_national_yearly!$D:$AM, 18, FALSE) / VLOOKUP("transport|NOx|Work loss days", US_national_yearly!$D:$AM, 10, FALSE), 1)</f>
        <v>3.53070788624213E-2</v>
      </c>
      <c r="K15" s="7">
        <f>$B15 * IFERROR(VLOOKUP("transport|NOx|Work loss days", US_national_yearly!$D:$AM, 19, FALSE) / VLOOKUP("transport|NOx|Work loss days", US_national_yearly!$D:$AM, 10, FALSE), 1)</f>
        <v>3.5488141152547913E-2</v>
      </c>
      <c r="L15" s="7">
        <f>$B15 * IFERROR(VLOOKUP("transport|NOx|Work loss days", US_national_yearly!$D:$AM, 20, FALSE) / VLOOKUP("transport|NOx|Work loss days", US_national_yearly!$D:$AM, 10, FALSE), 1)</f>
        <v>3.5669203442674526E-2</v>
      </c>
      <c r="M15" s="7">
        <f>$B15 * IFERROR(VLOOKUP("transport|NOx|Work loss days", US_national_yearly!$D:$AM, 21, FALSE) / VLOOKUP("transport|NOx|Work loss days", US_national_yearly!$D:$AM, 10, FALSE), 1)</f>
        <v>3.5850265732801138E-2</v>
      </c>
      <c r="N15" s="7">
        <f>$B15 * IFERROR(VLOOKUP("transport|NOx|Work loss days", US_national_yearly!$D:$AM, 22, FALSE) / VLOOKUP("transport|NOx|Work loss days", US_national_yearly!$D:$AM, 10, FALSE), 1)</f>
        <v>3.6085907192923906E-2</v>
      </c>
      <c r="O15" s="7">
        <f>$B15 * IFERROR(VLOOKUP("transport|NOx|Work loss days", US_national_yearly!$D:$AM, 23, FALSE) / VLOOKUP("transport|NOx|Work loss days", US_national_yearly!$D:$AM, 10, FALSE), 1)</f>
        <v>3.6321548653046674E-2</v>
      </c>
      <c r="P15" s="7">
        <f>$B15 * IFERROR(VLOOKUP("transport|NOx|Work loss days", US_national_yearly!$D:$AM, 24, FALSE) / VLOOKUP("transport|NOx|Work loss days", US_national_yearly!$D:$AM, 10, FALSE), 1)</f>
        <v>3.6557190113169442E-2</v>
      </c>
      <c r="Q15" s="7">
        <f>$B15 * IFERROR(VLOOKUP("transport|NOx|Work loss days", US_national_yearly!$D:$AM, 25, FALSE) / VLOOKUP("transport|NOx|Work loss days", US_national_yearly!$D:$AM, 10, FALSE), 1)</f>
        <v>3.6792831573292203E-2</v>
      </c>
      <c r="R15" s="7">
        <f>$B15 * IFERROR(VLOOKUP("transport|NOx|Work loss days", US_national_yearly!$D:$AM, 26, FALSE) / VLOOKUP("transport|NOx|Work loss days", US_national_yearly!$D:$AM, 10, FALSE), 1)</f>
        <v>3.7028473033414978E-2</v>
      </c>
      <c r="S15" s="7">
        <f>$B15 * IFERROR(VLOOKUP("transport|NOx|Work loss days", US_national_yearly!$D:$AM, 27, FALSE) / VLOOKUP("transport|NOx|Work loss days", US_national_yearly!$D:$AM, 10, FALSE), 1)</f>
        <v>3.7291183131862388E-2</v>
      </c>
      <c r="T15" s="7">
        <f>$B15 * IFERROR(VLOOKUP("transport|NOx|Work loss days", US_national_yearly!$D:$AM, 28, FALSE) / VLOOKUP("transport|NOx|Work loss days", US_national_yearly!$D:$AM, 10, FALSE), 1)</f>
        <v>3.7553893230309797E-2</v>
      </c>
      <c r="U15" s="7">
        <f>$B15 * IFERROR(VLOOKUP("transport|NOx|Work loss days", US_national_yearly!$D:$AM, 29, FALSE) / VLOOKUP("transport|NOx|Work loss days", US_national_yearly!$D:$AM, 10, FALSE), 1)</f>
        <v>3.7816603328757199E-2</v>
      </c>
      <c r="V15" s="7">
        <f>$B15 * IFERROR(VLOOKUP("transport|NOx|Work loss days", US_national_yearly!$D:$AM, 30, FALSE) / VLOOKUP("transport|NOx|Work loss days", US_national_yearly!$D:$AM, 10, FALSE), 1)</f>
        <v>3.8079313427204609E-2</v>
      </c>
      <c r="W15" s="7">
        <f>$B15 * IFERROR(VLOOKUP("transport|NOx|Work loss days", US_national_yearly!$D:$AM, 31, FALSE) / VLOOKUP("transport|NOx|Work loss days", US_national_yearly!$D:$AM, 10, FALSE), 1)</f>
        <v>3.8342023525652018E-2</v>
      </c>
      <c r="X15" s="7">
        <f>$B15 * IFERROR(VLOOKUP("transport|NOx|Work loss days", US_national_yearly!$D:$AM, 32, FALSE) / VLOOKUP("transport|NOx|Work loss days", US_national_yearly!$D:$AM, 10, FALSE), 1)</f>
        <v>3.8570041884258201E-2</v>
      </c>
      <c r="Y15" s="7">
        <f>$B15 * IFERROR(VLOOKUP("transport|NOx|Work loss days", US_national_yearly!$D:$AM, 33, FALSE) / VLOOKUP("transport|NOx|Work loss days", US_national_yearly!$D:$AM, 10, FALSE), 1)</f>
        <v>3.8798060242864384E-2</v>
      </c>
      <c r="Z15" s="7">
        <f>$B15 * IFERROR(VLOOKUP("transport|NOx|Work loss days", US_national_yearly!$D:$AM, 34, FALSE) / VLOOKUP("transport|NOx|Work loss days", US_national_yearly!$D:$AM, 10, FALSE), 1)</f>
        <v>3.9026078601470567E-2</v>
      </c>
      <c r="AA15" s="7">
        <f>$B15 * IFERROR(VLOOKUP("transport|NOx|Work loss days", US_national_yearly!$D:$AM, 35, FALSE) / VLOOKUP("transport|NOx|Work loss days", US_national_yearly!$D:$AM, 10, FALSE), 1)</f>
        <v>3.9254096960076749E-2</v>
      </c>
      <c r="AB15" s="7">
        <f>$B15 * IFERROR(VLOOKUP("transport|NOx|Work loss days", US_national_yearly!$D:$AM, 36, FALSE) / VLOOKUP("transport|NOx|Work loss days", US_national_yearly!$D:$AM, 10, FALSE), 1)</f>
        <v>3.9482115318682932E-2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8.1224160151379022E-5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8.3610902183910079E-5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8.5997644216441108E-5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8.8384386248972137E-5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9.0771128281503193E-5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9.3038138505902317E-5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9.5305148730301454E-5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9.7211529439053648E-5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9.9117910147805842E-5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1.0102429085655804E-4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1.0293067156531023E-4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1.0483705227406244E-4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1.0602917529876167E-4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1.0722129832346091E-4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1.0841342134816013E-4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1.0960554437285938E-4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1.1079766739755861E-4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1.1134160039745756E-4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1.1188553339735651E-4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1.1242946639725544E-4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1.1297339939715439E-4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1.1351733239705334E-4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1.1382004996944471E-4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1.1412276754183609E-4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1.1442548511422746E-4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1.1472820268661883E-4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1.1503092025901021E-4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3.0012726538934061E-3</v>
      </c>
      <c r="C2" s="7">
        <f>$B2 * IFERROR(VLOOKUP("transport|SO2|Premature mortality", US_national_yearly!$D:$AM, 11, FALSE) / VLOOKUP("transport|SO2|Premature mortality", US_national_yearly!$D:$AM, 10, FALSE), 1)</f>
        <v>3.0392821481730857E-3</v>
      </c>
      <c r="D2" s="7">
        <f>$B2 * IFERROR(VLOOKUP("transport|SO2|Premature mortality", US_national_yearly!$D:$AM, 12, FALSE) / VLOOKUP("transport|SO2|Premature mortality", US_national_yearly!$D:$AM, 10, FALSE), 1)</f>
        <v>3.0772916424527661E-3</v>
      </c>
      <c r="E2" s="7">
        <f>$B2 * IFERROR(VLOOKUP("transport|SO2|Premature mortality", US_national_yearly!$D:$AM, 13, FALSE) / VLOOKUP("transport|SO2|Premature mortality", US_national_yearly!$D:$AM, 10, FALSE), 1)</f>
        <v>3.1153011367324457E-3</v>
      </c>
      <c r="F2" s="7">
        <f>$B2 * IFERROR(VLOOKUP("transport|SO2|Premature mortality", US_national_yearly!$D:$AM, 14, FALSE) / VLOOKUP("transport|SO2|Premature mortality", US_national_yearly!$D:$AM, 10, FALSE), 1)</f>
        <v>3.1533106310121252E-3</v>
      </c>
      <c r="G2" s="7">
        <f>$B2 * IFERROR(VLOOKUP("transport|SO2|Premature mortality", US_national_yearly!$D:$AM, 15, FALSE) / VLOOKUP("transport|SO2|Premature mortality", US_national_yearly!$D:$AM, 10, FALSE), 1)</f>
        <v>3.2265527723446242E-3</v>
      </c>
      <c r="H2" s="7">
        <f>$B2 * IFERROR(VLOOKUP("transport|SO2|Premature mortality", US_national_yearly!$D:$AM, 16, FALSE) / VLOOKUP("transport|SO2|Premature mortality", US_national_yearly!$D:$AM, 10, FALSE), 1)</f>
        <v>3.2997949136771222E-3</v>
      </c>
      <c r="I2" s="7">
        <f>$B2 * IFERROR(VLOOKUP("transport|SO2|Premature mortality", US_national_yearly!$D:$AM, 17, FALSE) / VLOOKUP("transport|SO2|Premature mortality", US_national_yearly!$D:$AM, 10, FALSE), 1)</f>
        <v>3.3481978085100283E-3</v>
      </c>
      <c r="J2" s="7">
        <f>$B2 * IFERROR(VLOOKUP("transport|SO2|Premature mortality", US_national_yearly!$D:$AM, 18, FALSE) / VLOOKUP("transport|SO2|Premature mortality", US_national_yearly!$D:$AM, 10, FALSE), 1)</f>
        <v>3.3966007033429343E-3</v>
      </c>
      <c r="K2" s="7">
        <f>$B2 * IFERROR(VLOOKUP("transport|SO2|Premature mortality", US_national_yearly!$D:$AM, 19, FALSE) / VLOOKUP("transport|SO2|Premature mortality", US_national_yearly!$D:$AM, 10, FALSE), 1)</f>
        <v>3.4450035981758395E-3</v>
      </c>
      <c r="L2" s="7">
        <f>$B2 * IFERROR(VLOOKUP("transport|SO2|Premature mortality", US_national_yearly!$D:$AM, 20, FALSE) / VLOOKUP("transport|SO2|Premature mortality", US_national_yearly!$D:$AM, 10, FALSE), 1)</f>
        <v>3.4934064930087455E-3</v>
      </c>
      <c r="M2" s="7">
        <f>$B2 * IFERROR(VLOOKUP("transport|SO2|Premature mortality", US_national_yearly!$D:$AM, 21, FALSE) / VLOOKUP("transport|SO2|Premature mortality", US_national_yearly!$D:$AM, 10, FALSE), 1)</f>
        <v>3.5418093878416515E-3</v>
      </c>
      <c r="N2" s="7">
        <f>$B2 * IFERROR(VLOOKUP("transport|SO2|Premature mortality", US_national_yearly!$D:$AM, 22, FALSE) / VLOOKUP("transport|SO2|Premature mortality", US_national_yearly!$D:$AM, 10, FALSE), 1)</f>
        <v>3.5796287843590873E-3</v>
      </c>
      <c r="O2" s="7">
        <f>$B2 * IFERROR(VLOOKUP("transport|SO2|Premature mortality", US_national_yearly!$D:$AM, 23, FALSE) / VLOOKUP("transport|SO2|Premature mortality", US_national_yearly!$D:$AM, 10, FALSE), 1)</f>
        <v>3.6174481808765231E-3</v>
      </c>
      <c r="P2" s="7">
        <f>$B2 * IFERROR(VLOOKUP("transport|SO2|Premature mortality", US_national_yearly!$D:$AM, 24, FALSE) / VLOOKUP("transport|SO2|Premature mortality", US_national_yearly!$D:$AM, 10, FALSE), 1)</f>
        <v>3.6552675773939588E-3</v>
      </c>
      <c r="Q2" s="7">
        <f>$B2 * IFERROR(VLOOKUP("transport|SO2|Premature mortality", US_national_yearly!$D:$AM, 25, FALSE) / VLOOKUP("transport|SO2|Premature mortality", US_national_yearly!$D:$AM, 10, FALSE), 1)</f>
        <v>3.6930869739113942E-3</v>
      </c>
      <c r="R2" s="7">
        <f>$B2 * IFERROR(VLOOKUP("transport|SO2|Premature mortality", US_national_yearly!$D:$AM, 26, FALSE) / VLOOKUP("transport|SO2|Premature mortality", US_national_yearly!$D:$AM, 10, FALSE), 1)</f>
        <v>3.7309063704288295E-3</v>
      </c>
      <c r="S2" s="7">
        <f>$B2 * IFERROR(VLOOKUP("transport|SO2|Premature mortality", US_national_yearly!$D:$AM, 27, FALSE) / VLOOKUP("transport|SO2|Premature mortality", US_national_yearly!$D:$AM, 10, FALSE), 1)</f>
        <v>3.7511591608367163E-3</v>
      </c>
      <c r="T2" s="7">
        <f>$B2 * IFERROR(VLOOKUP("transport|SO2|Premature mortality", US_national_yearly!$D:$AM, 28, FALSE) / VLOOKUP("transport|SO2|Premature mortality", US_national_yearly!$D:$AM, 10, FALSE), 1)</f>
        <v>3.7714119512446027E-3</v>
      </c>
      <c r="U2" s="7">
        <f>$B2 * IFERROR(VLOOKUP("transport|SO2|Premature mortality", US_national_yearly!$D:$AM, 29, FALSE) / VLOOKUP("transport|SO2|Premature mortality", US_national_yearly!$D:$AM, 10, FALSE), 1)</f>
        <v>3.7916647416524891E-3</v>
      </c>
      <c r="V2" s="7">
        <f>$B2 * IFERROR(VLOOKUP("transport|SO2|Premature mortality", US_national_yearly!$D:$AM, 30, FALSE) / VLOOKUP("transport|SO2|Premature mortality", US_national_yearly!$D:$AM, 10, FALSE), 1)</f>
        <v>3.8119175320603755E-3</v>
      </c>
      <c r="W2" s="7">
        <f>$B2 * IFERROR(VLOOKUP("transport|SO2|Premature mortality", US_national_yearly!$D:$AM, 31, FALSE) / VLOOKUP("transport|SO2|Premature mortality", US_national_yearly!$D:$AM, 10, FALSE), 1)</f>
        <v>3.8321703224682624E-3</v>
      </c>
      <c r="X2" s="7">
        <f>$B2 * IFERROR(VLOOKUP("transport|SO2|Premature mortality", US_national_yearly!$D:$AM, 32, FALSE) / VLOOKUP("transport|SO2|Premature mortality", US_national_yearly!$D:$AM, 10, FALSE), 1)</f>
        <v>3.8362847387882516E-3</v>
      </c>
      <c r="Y2" s="7">
        <f>$B2 * IFERROR(VLOOKUP("transport|SO2|Premature mortality", US_national_yearly!$D:$AM, 33, FALSE) / VLOOKUP("transport|SO2|Premature mortality", US_national_yearly!$D:$AM, 10, FALSE), 1)</f>
        <v>3.8403991551082413E-3</v>
      </c>
      <c r="Z2" s="7">
        <f>$B2 * IFERROR(VLOOKUP("transport|SO2|Premature mortality", US_national_yearly!$D:$AM, 34, FALSE) / VLOOKUP("transport|SO2|Premature mortality", US_national_yearly!$D:$AM, 10, FALSE), 1)</f>
        <v>3.844513571428231E-3</v>
      </c>
      <c r="AA2" s="7">
        <f>$B2 * IFERROR(VLOOKUP("transport|SO2|Premature mortality", US_national_yearly!$D:$AM, 35, FALSE) / VLOOKUP("transport|SO2|Premature mortality", US_national_yearly!$D:$AM, 10, FALSE), 1)</f>
        <v>3.8486279877482208E-3</v>
      </c>
      <c r="AB2" s="7">
        <f>$B2 * IFERROR(VLOOKUP("transport|SO2|Premature mortality", US_national_yearly!$D:$AM, 36, FALSE) / VLOOKUP("transport|SO2|Premature mortality", US_national_yearly!$D:$AM, 10, FALSE), 1)</f>
        <v>3.85274240406821E-3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6.4539183865096654E-6</v>
      </c>
      <c r="C3" s="7">
        <f>$B3 * IFERROR(VLOOKUP("transport|SO2|Infant mortality", US_national_yearly!$D:$AM, 11, FALSE) / VLOOKUP("transport|SO2|Infant mortality", US_national_yearly!$D:$AM, 10, FALSE), 1)</f>
        <v>6.3984780503388788E-6</v>
      </c>
      <c r="D3" s="7">
        <f>$B3 * IFERROR(VLOOKUP("transport|SO2|Infant mortality", US_national_yearly!$D:$AM, 12, FALSE) / VLOOKUP("transport|SO2|Infant mortality", US_national_yearly!$D:$AM, 10, FALSE), 1)</f>
        <v>6.3430377141680932E-6</v>
      </c>
      <c r="E3" s="7">
        <f>$B3 * IFERROR(VLOOKUP("transport|SO2|Infant mortality", US_national_yearly!$D:$AM, 13, FALSE) / VLOOKUP("transport|SO2|Infant mortality", US_national_yearly!$D:$AM, 10, FALSE), 1)</f>
        <v>6.2875973779973066E-6</v>
      </c>
      <c r="F3" s="7">
        <f>$B3 * IFERROR(VLOOKUP("transport|SO2|Infant mortality", US_national_yearly!$D:$AM, 14, FALSE) / VLOOKUP("transport|SO2|Infant mortality", US_national_yearly!$D:$AM, 10, FALSE), 1)</f>
        <v>6.2321570418265209E-6</v>
      </c>
      <c r="G3" s="7">
        <f>$B3 * IFERROR(VLOOKUP("transport|SO2|Infant mortality", US_national_yearly!$D:$AM, 15, FALSE) / VLOOKUP("transport|SO2|Infant mortality", US_national_yearly!$D:$AM, 10, FALSE), 1)</f>
        <v>4.1511185376357259E-6</v>
      </c>
      <c r="H3" s="7">
        <f>$B3 * IFERROR(VLOOKUP("transport|SO2|Infant mortality", US_national_yearly!$D:$AM, 16, FALSE) / VLOOKUP("transport|SO2|Infant mortality", US_national_yearly!$D:$AM, 10, FALSE), 1)</f>
        <v>2.0700800334449339E-6</v>
      </c>
      <c r="I3" s="7">
        <f>$B3 * IFERROR(VLOOKUP("transport|SO2|Infant mortality", US_national_yearly!$D:$AM, 17, FALSE) / VLOOKUP("transport|SO2|Infant mortality", US_national_yearly!$D:$AM, 10, FALSE), 1)</f>
        <v>2.0570937962846341E-6</v>
      </c>
      <c r="J3" s="7">
        <f>$B3 * IFERROR(VLOOKUP("transport|SO2|Infant mortality", US_national_yearly!$D:$AM, 18, FALSE) / VLOOKUP("transport|SO2|Infant mortality", US_national_yearly!$D:$AM, 10, FALSE), 1)</f>
        <v>2.0441075591243343E-6</v>
      </c>
      <c r="K3" s="7">
        <f>$B3 * IFERROR(VLOOKUP("transport|SO2|Infant mortality", US_national_yearly!$D:$AM, 19, FALSE) / VLOOKUP("transport|SO2|Infant mortality", US_national_yearly!$D:$AM, 10, FALSE), 1)</f>
        <v>2.0311213219640345E-6</v>
      </c>
      <c r="L3" s="7">
        <f>$B3 * IFERROR(VLOOKUP("transport|SO2|Infant mortality", US_national_yearly!$D:$AM, 20, FALSE) / VLOOKUP("transport|SO2|Infant mortality", US_national_yearly!$D:$AM, 10, FALSE), 1)</f>
        <v>2.0181350848037352E-6</v>
      </c>
      <c r="M3" s="7">
        <f>$B3 * IFERROR(VLOOKUP("transport|SO2|Infant mortality", US_national_yearly!$D:$AM, 21, FALSE) / VLOOKUP("transport|SO2|Infant mortality", US_national_yearly!$D:$AM, 10, FALSE), 1)</f>
        <v>2.0051488476434354E-6</v>
      </c>
      <c r="N3" s="7">
        <f>$B3 * IFERROR(VLOOKUP("transport|SO2|Infant mortality", US_national_yearly!$D:$AM, 22, FALSE) / VLOOKUP("transport|SO2|Infant mortality", US_national_yearly!$D:$AM, 10, FALSE), 1)</f>
        <v>1.9969974838014863E-6</v>
      </c>
      <c r="O3" s="7">
        <f>$B3 * IFERROR(VLOOKUP("transport|SO2|Infant mortality", US_national_yearly!$D:$AM, 23, FALSE) / VLOOKUP("transport|SO2|Infant mortality", US_national_yearly!$D:$AM, 10, FALSE), 1)</f>
        <v>1.9888461199595376E-6</v>
      </c>
      <c r="P3" s="7">
        <f>$B3 * IFERROR(VLOOKUP("transport|SO2|Infant mortality", US_national_yearly!$D:$AM, 24, FALSE) / VLOOKUP("transport|SO2|Infant mortality", US_national_yearly!$D:$AM, 10, FALSE), 1)</f>
        <v>1.9806947561175881E-6</v>
      </c>
      <c r="Q3" s="7">
        <f>$B3 * IFERROR(VLOOKUP("transport|SO2|Infant mortality", US_national_yearly!$D:$AM, 25, FALSE) / VLOOKUP("transport|SO2|Infant mortality", US_national_yearly!$D:$AM, 10, FALSE), 1)</f>
        <v>1.9725433922756394E-6</v>
      </c>
      <c r="R3" s="7">
        <f>$B3 * IFERROR(VLOOKUP("transport|SO2|Infant mortality", US_national_yearly!$D:$AM, 26, FALSE) / VLOOKUP("transport|SO2|Infant mortality", US_national_yearly!$D:$AM, 10, FALSE), 1)</f>
        <v>1.9643920284336898E-6</v>
      </c>
      <c r="S3" s="7">
        <f>$B3 * IFERROR(VLOOKUP("transport|SO2|Infant mortality", US_national_yearly!$D:$AM, 27, FALSE) / VLOOKUP("transport|SO2|Infant mortality", US_national_yearly!$D:$AM, 10, FALSE), 1)</f>
        <v>1.9541574945384076E-6</v>
      </c>
      <c r="T3" s="7">
        <f>$B3 * IFERROR(VLOOKUP("transport|SO2|Infant mortality", US_national_yearly!$D:$AM, 28, FALSE) / VLOOKUP("transport|SO2|Infant mortality", US_national_yearly!$D:$AM, 10, FALSE), 1)</f>
        <v>1.9439229606431259E-6</v>
      </c>
      <c r="U3" s="7">
        <f>$B3 * IFERROR(VLOOKUP("transport|SO2|Infant mortality", US_national_yearly!$D:$AM, 29, FALSE) / VLOOKUP("transport|SO2|Infant mortality", US_national_yearly!$D:$AM, 10, FALSE), 1)</f>
        <v>1.9336884267478428E-6</v>
      </c>
      <c r="V3" s="7">
        <f>$B3 * IFERROR(VLOOKUP("transport|SO2|Infant mortality", US_national_yearly!$D:$AM, 30, FALSE) / VLOOKUP("transport|SO2|Infant mortality", US_national_yearly!$D:$AM, 10, FALSE), 1)</f>
        <v>1.923453892852561E-6</v>
      </c>
      <c r="W3" s="7">
        <f>$B3 * IFERROR(VLOOKUP("transport|SO2|Infant mortality", US_national_yearly!$D:$AM, 31, FALSE) / VLOOKUP("transport|SO2|Infant mortality", US_national_yearly!$D:$AM, 10, FALSE), 1)</f>
        <v>1.9132193589572784E-6</v>
      </c>
      <c r="X3" s="7">
        <f>$B3 * IFERROR(VLOOKUP("transport|SO2|Infant mortality", US_national_yearly!$D:$AM, 32, FALSE) / VLOOKUP("transport|SO2|Infant mortality", US_national_yearly!$D:$AM, 10, FALSE), 1)</f>
        <v>1.9020298542949536E-6</v>
      </c>
      <c r="Y3" s="7">
        <f>$B3 * IFERROR(VLOOKUP("transport|SO2|Infant mortality", US_national_yearly!$D:$AM, 33, FALSE) / VLOOKUP("transport|SO2|Infant mortality", US_national_yearly!$D:$AM, 10, FALSE), 1)</f>
        <v>1.8908403496326283E-6</v>
      </c>
      <c r="Z3" s="7">
        <f>$B3 * IFERROR(VLOOKUP("transport|SO2|Infant mortality", US_national_yearly!$D:$AM, 34, FALSE) / VLOOKUP("transport|SO2|Infant mortality", US_national_yearly!$D:$AM, 10, FALSE), 1)</f>
        <v>1.8796508449703035E-6</v>
      </c>
      <c r="AA3" s="7">
        <f>$B3 * IFERROR(VLOOKUP("transport|SO2|Infant mortality", US_national_yearly!$D:$AM, 35, FALSE) / VLOOKUP("transport|SO2|Infant mortality", US_national_yearly!$D:$AM, 10, FALSE), 1)</f>
        <v>1.8684613403079781E-6</v>
      </c>
      <c r="AB3" s="7">
        <f>$B3 * IFERROR(VLOOKUP("transport|SO2|Infant mortality", US_national_yearly!$D:$AM, 36, FALSE) / VLOOKUP("transport|SO2|Infant mortality", US_national_yearly!$D:$AM, 10, FALSE), 1)</f>
        <v>1.8572718356456534E-6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6.4045193002017498E-3</v>
      </c>
      <c r="C6" s="7">
        <f>$B6 * IFERROR(VLOOKUP("transport|SO2|Asthma symptoms cough", US_national_yearly!$D:$AM, 11, FALSE) / VLOOKUP("transport|SO2|Asthma symptoms cough", US_national_yearly!$D:$AM, 10, FALSE), 1)</f>
        <v>6.4045193002017498E-3</v>
      </c>
      <c r="D6" s="7">
        <f>$B6 * IFERROR(VLOOKUP("transport|SO2|Asthma symptoms cough", US_national_yearly!$D:$AM, 12, FALSE) / VLOOKUP("transport|SO2|Asthma symptoms cough", US_national_yearly!$D:$AM, 10, FALSE), 1)</f>
        <v>6.4045193002017498E-3</v>
      </c>
      <c r="E6" s="7">
        <f>$B6 * IFERROR(VLOOKUP("transport|SO2|Asthma symptoms cough", US_national_yearly!$D:$AM, 13, FALSE) / VLOOKUP("transport|SO2|Asthma symptoms cough", US_national_yearly!$D:$AM, 10, FALSE), 1)</f>
        <v>6.4045193002017498E-3</v>
      </c>
      <c r="F6" s="7">
        <f>$B6 * IFERROR(VLOOKUP("transport|SO2|Asthma symptoms cough", US_national_yearly!$D:$AM, 14, FALSE) / VLOOKUP("transport|SO2|Asthma symptoms cough", US_national_yearly!$D:$AM, 10, FALSE), 1)</f>
        <v>6.4045193002017498E-3</v>
      </c>
      <c r="G6" s="7">
        <f>$B6 * IFERROR(VLOOKUP("transport|SO2|Asthma symptoms cough", US_national_yearly!$D:$AM, 15, FALSE) / VLOOKUP("transport|SO2|Asthma symptoms cough", US_national_yearly!$D:$AM, 10, FALSE), 1)</f>
        <v>6.4045193002017498E-3</v>
      </c>
      <c r="H6" s="7">
        <f>$B6 * IFERROR(VLOOKUP("transport|SO2|Asthma symptoms cough", US_national_yearly!$D:$AM, 16, FALSE) / VLOOKUP("transport|SO2|Asthma symptoms cough", US_national_yearly!$D:$AM, 10, FALSE), 1)</f>
        <v>6.4045193002017498E-3</v>
      </c>
      <c r="I6" s="7">
        <f>$B6 * IFERROR(VLOOKUP("transport|SO2|Asthma symptoms cough", US_national_yearly!$D:$AM, 17, FALSE) / VLOOKUP("transport|SO2|Asthma symptoms cough", US_national_yearly!$D:$AM, 10, FALSE), 1)</f>
        <v>6.4045193002017498E-3</v>
      </c>
      <c r="J6" s="7">
        <f>$B6 * IFERROR(VLOOKUP("transport|SO2|Asthma symptoms cough", US_national_yearly!$D:$AM, 18, FALSE) / VLOOKUP("transport|SO2|Asthma symptoms cough", US_national_yearly!$D:$AM, 10, FALSE), 1)</f>
        <v>6.4045193002017498E-3</v>
      </c>
      <c r="K6" s="7">
        <f>$B6 * IFERROR(VLOOKUP("transport|SO2|Asthma symptoms cough", US_national_yearly!$D:$AM, 19, FALSE) / VLOOKUP("transport|SO2|Asthma symptoms cough", US_national_yearly!$D:$AM, 10, FALSE), 1)</f>
        <v>6.4045193002017498E-3</v>
      </c>
      <c r="L6" s="7">
        <f>$B6 * IFERROR(VLOOKUP("transport|SO2|Asthma symptoms cough", US_national_yearly!$D:$AM, 20, FALSE) / VLOOKUP("transport|SO2|Asthma symptoms cough", US_national_yearly!$D:$AM, 10, FALSE), 1)</f>
        <v>6.4045193002017498E-3</v>
      </c>
      <c r="M6" s="7">
        <f>$B6 * IFERROR(VLOOKUP("transport|SO2|Asthma symptoms cough", US_national_yearly!$D:$AM, 21, FALSE) / VLOOKUP("transport|SO2|Asthma symptoms cough", US_national_yearly!$D:$AM, 10, FALSE), 1)</f>
        <v>6.4045193002017498E-3</v>
      </c>
      <c r="N6" s="7">
        <f>$B6 * IFERROR(VLOOKUP("transport|SO2|Asthma symptoms cough", US_national_yearly!$D:$AM, 22, FALSE) / VLOOKUP("transport|SO2|Asthma symptoms cough", US_national_yearly!$D:$AM, 10, FALSE), 1)</f>
        <v>6.4045193002017498E-3</v>
      </c>
      <c r="O6" s="7">
        <f>$B6 * IFERROR(VLOOKUP("transport|SO2|Asthma symptoms cough", US_national_yearly!$D:$AM, 23, FALSE) / VLOOKUP("transport|SO2|Asthma symptoms cough", US_national_yearly!$D:$AM, 10, FALSE), 1)</f>
        <v>6.4045193002017498E-3</v>
      </c>
      <c r="P6" s="7">
        <f>$B6 * IFERROR(VLOOKUP("transport|SO2|Asthma symptoms cough", US_national_yearly!$D:$AM, 24, FALSE) / VLOOKUP("transport|SO2|Asthma symptoms cough", US_national_yearly!$D:$AM, 10, FALSE), 1)</f>
        <v>6.4045193002017498E-3</v>
      </c>
      <c r="Q6" s="7">
        <f>$B6 * IFERROR(VLOOKUP("transport|SO2|Asthma symptoms cough", US_national_yearly!$D:$AM, 25, FALSE) / VLOOKUP("transport|SO2|Asthma symptoms cough", US_national_yearly!$D:$AM, 10, FALSE), 1)</f>
        <v>6.4045193002017498E-3</v>
      </c>
      <c r="R6" s="7">
        <f>$B6 * IFERROR(VLOOKUP("transport|SO2|Asthma symptoms cough", US_national_yearly!$D:$AM, 26, FALSE) / VLOOKUP("transport|SO2|Asthma symptoms cough", US_national_yearly!$D:$AM, 10, FALSE), 1)</f>
        <v>6.4045193002017498E-3</v>
      </c>
      <c r="S6" s="7">
        <f>$B6 * IFERROR(VLOOKUP("transport|SO2|Asthma symptoms cough", US_national_yearly!$D:$AM, 27, FALSE) / VLOOKUP("transport|SO2|Asthma symptoms cough", US_national_yearly!$D:$AM, 10, FALSE), 1)</f>
        <v>6.4045193002017498E-3</v>
      </c>
      <c r="T6" s="7">
        <f>$B6 * IFERROR(VLOOKUP("transport|SO2|Asthma symptoms cough", US_national_yearly!$D:$AM, 28, FALSE) / VLOOKUP("transport|SO2|Asthma symptoms cough", US_national_yearly!$D:$AM, 10, FALSE), 1)</f>
        <v>6.4045193002017498E-3</v>
      </c>
      <c r="U6" s="7">
        <f>$B6 * IFERROR(VLOOKUP("transport|SO2|Asthma symptoms cough", US_national_yearly!$D:$AM, 29, FALSE) / VLOOKUP("transport|SO2|Asthma symptoms cough", US_national_yearly!$D:$AM, 10, FALSE), 1)</f>
        <v>6.4045193002017498E-3</v>
      </c>
      <c r="V6" s="7">
        <f>$B6 * IFERROR(VLOOKUP("transport|SO2|Asthma symptoms cough", US_national_yearly!$D:$AM, 30, FALSE) / VLOOKUP("transport|SO2|Asthma symptoms cough", US_national_yearly!$D:$AM, 10, FALSE), 1)</f>
        <v>6.4045193002017498E-3</v>
      </c>
      <c r="W6" s="7">
        <f>$B6 * IFERROR(VLOOKUP("transport|SO2|Asthma symptoms cough", US_national_yearly!$D:$AM, 31, FALSE) / VLOOKUP("transport|SO2|Asthma symptoms cough", US_national_yearly!$D:$AM, 10, FALSE), 1)</f>
        <v>6.4045193002017498E-3</v>
      </c>
      <c r="X6" s="7">
        <f>$B6 * IFERROR(VLOOKUP("transport|SO2|Asthma symptoms cough", US_national_yearly!$D:$AM, 32, FALSE) / VLOOKUP("transport|SO2|Asthma symptoms cough", US_national_yearly!$D:$AM, 10, FALSE), 1)</f>
        <v>6.4045193002017498E-3</v>
      </c>
      <c r="Y6" s="7">
        <f>$B6 * IFERROR(VLOOKUP("transport|SO2|Asthma symptoms cough", US_national_yearly!$D:$AM, 33, FALSE) / VLOOKUP("transport|SO2|Asthma symptoms cough", US_national_yearly!$D:$AM, 10, FALSE), 1)</f>
        <v>6.4045193002017498E-3</v>
      </c>
      <c r="Z6" s="7">
        <f>$B6 * IFERROR(VLOOKUP("transport|SO2|Asthma symptoms cough", US_national_yearly!$D:$AM, 34, FALSE) / VLOOKUP("transport|SO2|Asthma symptoms cough", US_national_yearly!$D:$AM, 10, FALSE), 1)</f>
        <v>6.4045193002017498E-3</v>
      </c>
      <c r="AA6" s="7">
        <f>$B6 * IFERROR(VLOOKUP("transport|SO2|Asthma symptoms cough", US_national_yearly!$D:$AM, 35, FALSE) / VLOOKUP("transport|SO2|Asthma symptoms cough", US_national_yearly!$D:$AM, 10, FALSE), 1)</f>
        <v>6.4045193002017498E-3</v>
      </c>
      <c r="AB6" s="7">
        <f>$B6 * IFERROR(VLOOKUP("transport|SO2|Asthma symptoms cough", US_national_yearly!$D:$AM, 36, FALSE) / VLOOKUP("transport|SO2|Asthma symptoms cough", US_national_yearly!$D:$AM, 10, FALSE), 1)</f>
        <v>6.4045193002017498E-3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8.6246179694862268E-3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8.6246179694862268E-3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8.6246179694862268E-3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8.6246179694862268E-3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8.6246179694862268E-3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8.6246179694862268E-3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8.6246179694862268E-3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8.6246179694862268E-3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8.6246179694862268E-3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8.6246179694862268E-3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8.6246179694862268E-3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8.6246179694862268E-3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8.6246179694862268E-3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8.6246179694862268E-3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8.6246179694862268E-3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8.6246179694862268E-3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8.6246179694862268E-3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8.6246179694862268E-3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8.6246179694862268E-3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8.6246179694862268E-3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8.6246179694862268E-3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8.6246179694862268E-3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8.6246179694862268E-3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8.6246179694862268E-3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8.6246179694862268E-3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8.6246179694862268E-3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8.6246179694862268E-3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1.3176942426524525E-2</v>
      </c>
      <c r="C8" s="7">
        <f>$B8 * IFERROR(VLOOKUP("transport|SO2|Asthma symptoms wheeze", US_national_yearly!$D:$AM, 11, FALSE) / VLOOKUP("transport|SO2|Asthma symptoms wheeze", US_national_yearly!$D:$AM, 10, FALSE), 1)</f>
        <v>1.3176942426524525E-2</v>
      </c>
      <c r="D8" s="7">
        <f>$B8 * IFERROR(VLOOKUP("transport|SO2|Asthma symptoms wheeze", US_national_yearly!$D:$AM, 12, FALSE) / VLOOKUP("transport|SO2|Asthma symptoms wheeze", US_national_yearly!$D:$AM, 10, FALSE), 1)</f>
        <v>1.3176942426524525E-2</v>
      </c>
      <c r="E8" s="7">
        <f>$B8 * IFERROR(VLOOKUP("transport|SO2|Asthma symptoms wheeze", US_national_yearly!$D:$AM, 13, FALSE) / VLOOKUP("transport|SO2|Asthma symptoms wheeze", US_national_yearly!$D:$AM, 10, FALSE), 1)</f>
        <v>1.3176942426524525E-2</v>
      </c>
      <c r="F8" s="7">
        <f>$B8 * IFERROR(VLOOKUP("transport|SO2|Asthma symptoms wheeze", US_national_yearly!$D:$AM, 14, FALSE) / VLOOKUP("transport|SO2|Asthma symptoms wheeze", US_national_yearly!$D:$AM, 10, FALSE), 1)</f>
        <v>1.3176942426524525E-2</v>
      </c>
      <c r="G8" s="7">
        <f>$B8 * IFERROR(VLOOKUP("transport|SO2|Asthma symptoms wheeze", US_national_yearly!$D:$AM, 15, FALSE) / VLOOKUP("transport|SO2|Asthma symptoms wheeze", US_national_yearly!$D:$AM, 10, FALSE), 1)</f>
        <v>1.3176942426524525E-2</v>
      </c>
      <c r="H8" s="7">
        <f>$B8 * IFERROR(VLOOKUP("transport|SO2|Asthma symptoms wheeze", US_national_yearly!$D:$AM, 16, FALSE) / VLOOKUP("transport|SO2|Asthma symptoms wheeze", US_national_yearly!$D:$AM, 10, FALSE), 1)</f>
        <v>1.3176942426524525E-2</v>
      </c>
      <c r="I8" s="7">
        <f>$B8 * IFERROR(VLOOKUP("transport|SO2|Asthma symptoms wheeze", US_national_yearly!$D:$AM, 17, FALSE) / VLOOKUP("transport|SO2|Asthma symptoms wheeze", US_national_yearly!$D:$AM, 10, FALSE), 1)</f>
        <v>1.3176942426524525E-2</v>
      </c>
      <c r="J8" s="7">
        <f>$B8 * IFERROR(VLOOKUP("transport|SO2|Asthma symptoms wheeze", US_national_yearly!$D:$AM, 18, FALSE) / VLOOKUP("transport|SO2|Asthma symptoms wheeze", US_national_yearly!$D:$AM, 10, FALSE), 1)</f>
        <v>1.3176942426524525E-2</v>
      </c>
      <c r="K8" s="7">
        <f>$B8 * IFERROR(VLOOKUP("transport|SO2|Asthma symptoms wheeze", US_national_yearly!$D:$AM, 19, FALSE) / VLOOKUP("transport|SO2|Asthma symptoms wheeze", US_national_yearly!$D:$AM, 10, FALSE), 1)</f>
        <v>1.3176942426524525E-2</v>
      </c>
      <c r="L8" s="7">
        <f>$B8 * IFERROR(VLOOKUP("transport|SO2|Asthma symptoms wheeze", US_national_yearly!$D:$AM, 20, FALSE) / VLOOKUP("transport|SO2|Asthma symptoms wheeze", US_national_yearly!$D:$AM, 10, FALSE), 1)</f>
        <v>1.3176942426524525E-2</v>
      </c>
      <c r="M8" s="7">
        <f>$B8 * IFERROR(VLOOKUP("transport|SO2|Asthma symptoms wheeze", US_national_yearly!$D:$AM, 21, FALSE) / VLOOKUP("transport|SO2|Asthma symptoms wheeze", US_national_yearly!$D:$AM, 10, FALSE), 1)</f>
        <v>1.3176942426524525E-2</v>
      </c>
      <c r="N8" s="7">
        <f>$B8 * IFERROR(VLOOKUP("transport|SO2|Asthma symptoms wheeze", US_national_yearly!$D:$AM, 22, FALSE) / VLOOKUP("transport|SO2|Asthma symptoms wheeze", US_national_yearly!$D:$AM, 10, FALSE), 1)</f>
        <v>1.3176942426524525E-2</v>
      </c>
      <c r="O8" s="7">
        <f>$B8 * IFERROR(VLOOKUP("transport|SO2|Asthma symptoms wheeze", US_national_yearly!$D:$AM, 23, FALSE) / VLOOKUP("transport|SO2|Asthma symptoms wheeze", US_national_yearly!$D:$AM, 10, FALSE), 1)</f>
        <v>1.3176942426524525E-2</v>
      </c>
      <c r="P8" s="7">
        <f>$B8 * IFERROR(VLOOKUP("transport|SO2|Asthma symptoms wheeze", US_national_yearly!$D:$AM, 24, FALSE) / VLOOKUP("transport|SO2|Asthma symptoms wheeze", US_national_yearly!$D:$AM, 10, FALSE), 1)</f>
        <v>1.3176942426524525E-2</v>
      </c>
      <c r="Q8" s="7">
        <f>$B8 * IFERROR(VLOOKUP("transport|SO2|Asthma symptoms wheeze", US_national_yearly!$D:$AM, 25, FALSE) / VLOOKUP("transport|SO2|Asthma symptoms wheeze", US_national_yearly!$D:$AM, 10, FALSE), 1)</f>
        <v>1.3176942426524525E-2</v>
      </c>
      <c r="R8" s="7">
        <f>$B8 * IFERROR(VLOOKUP("transport|SO2|Asthma symptoms wheeze", US_national_yearly!$D:$AM, 26, FALSE) / VLOOKUP("transport|SO2|Asthma symptoms wheeze", US_national_yearly!$D:$AM, 10, FALSE), 1)</f>
        <v>1.3176942426524525E-2</v>
      </c>
      <c r="S8" s="7">
        <f>$B8 * IFERROR(VLOOKUP("transport|SO2|Asthma symptoms wheeze", US_national_yearly!$D:$AM, 27, FALSE) / VLOOKUP("transport|SO2|Asthma symptoms wheeze", US_national_yearly!$D:$AM, 10, FALSE), 1)</f>
        <v>1.3176942426524525E-2</v>
      </c>
      <c r="T8" s="7">
        <f>$B8 * IFERROR(VLOOKUP("transport|SO2|Asthma symptoms wheeze", US_national_yearly!$D:$AM, 28, FALSE) / VLOOKUP("transport|SO2|Asthma symptoms wheeze", US_national_yearly!$D:$AM, 10, FALSE), 1)</f>
        <v>1.3176942426524525E-2</v>
      </c>
      <c r="U8" s="7">
        <f>$B8 * IFERROR(VLOOKUP("transport|SO2|Asthma symptoms wheeze", US_national_yearly!$D:$AM, 29, FALSE) / VLOOKUP("transport|SO2|Asthma symptoms wheeze", US_national_yearly!$D:$AM, 10, FALSE), 1)</f>
        <v>1.3176942426524525E-2</v>
      </c>
      <c r="V8" s="7">
        <f>$B8 * IFERROR(VLOOKUP("transport|SO2|Asthma symptoms wheeze", US_national_yearly!$D:$AM, 30, FALSE) / VLOOKUP("transport|SO2|Asthma symptoms wheeze", US_national_yearly!$D:$AM, 10, FALSE), 1)</f>
        <v>1.3176942426524525E-2</v>
      </c>
      <c r="W8" s="7">
        <f>$B8 * IFERROR(VLOOKUP("transport|SO2|Asthma symptoms wheeze", US_national_yearly!$D:$AM, 31, FALSE) / VLOOKUP("transport|SO2|Asthma symptoms wheeze", US_national_yearly!$D:$AM, 10, FALSE), 1)</f>
        <v>1.3176942426524525E-2</v>
      </c>
      <c r="X8" s="7">
        <f>$B8 * IFERROR(VLOOKUP("transport|SO2|Asthma symptoms wheeze", US_national_yearly!$D:$AM, 32, FALSE) / VLOOKUP("transport|SO2|Asthma symptoms wheeze", US_national_yearly!$D:$AM, 10, FALSE), 1)</f>
        <v>1.3176942426524525E-2</v>
      </c>
      <c r="Y8" s="7">
        <f>$B8 * IFERROR(VLOOKUP("transport|SO2|Asthma symptoms wheeze", US_national_yearly!$D:$AM, 33, FALSE) / VLOOKUP("transport|SO2|Asthma symptoms wheeze", US_national_yearly!$D:$AM, 10, FALSE), 1)</f>
        <v>1.3176942426524525E-2</v>
      </c>
      <c r="Z8" s="7">
        <f>$B8 * IFERROR(VLOOKUP("transport|SO2|Asthma symptoms wheeze", US_national_yearly!$D:$AM, 34, FALSE) / VLOOKUP("transport|SO2|Asthma symptoms wheeze", US_national_yearly!$D:$AM, 10, FALSE), 1)</f>
        <v>1.3176942426524525E-2</v>
      </c>
      <c r="AA8" s="7">
        <f>$B8 * IFERROR(VLOOKUP("transport|SO2|Asthma symptoms wheeze", US_national_yearly!$D:$AM, 35, FALSE) / VLOOKUP("transport|SO2|Asthma symptoms wheeze", US_national_yearly!$D:$AM, 10, FALSE), 1)</f>
        <v>1.3176942426524525E-2</v>
      </c>
      <c r="AB8" s="7">
        <f>$B8 * IFERROR(VLOOKUP("transport|SO2|Asthma symptoms wheeze", US_national_yearly!$D:$AM, 36, FALSE) / VLOOKUP("transport|SO2|Asthma symptoms wheeze", US_national_yearly!$D:$AM, 10, FALSE), 1)</f>
        <v>1.3176942426524525E-2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1.8183849028217657E-4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1.8291098273430633E-4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1.8398347518643613E-4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1.850559676385659E-4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1.8612846009069566E-4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1.8729765776188587E-4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1.8846685543307605E-4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1.8961982354637368E-4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1.9077279165967133E-4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1.9192575977296892E-4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1.9307872788626657E-4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1.9423169599956417E-4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1.9507332713176263E-4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1.9591495826396104E-4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1.9675658939615948E-4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1.9759822052835795E-4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1.9843985166055636E-4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1.9924270354240619E-4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2.00045555424256E-4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2.0084840730610583E-4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2.0165125918795567E-4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2.024541110698055E-4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2.0321588569306652E-4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2.0397766031632754E-4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2.0473943493958858E-4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2.055012095628496E-4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2.0626298418611067E-4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1.1203231284282551E-3</v>
      </c>
      <c r="C13" s="7">
        <f>$B13 * IFERROR(VLOOKUP("transport|SO2|Non-fatal heart attacks", US_national_yearly!$D:$AM, 11, FALSE) / VLOOKUP("transport|SO2|Non-fatal heart attacks", US_national_yearly!$D:$AM, 10, FALSE), 1)</f>
        <v>1.1532117462421869E-3</v>
      </c>
      <c r="D13" s="7">
        <f>$B13 * IFERROR(VLOOKUP("transport|SO2|Non-fatal heart attacks", US_national_yearly!$D:$AM, 12, FALSE) / VLOOKUP("transport|SO2|Non-fatal heart attacks", US_national_yearly!$D:$AM, 10, FALSE), 1)</f>
        <v>1.1861003640561186E-3</v>
      </c>
      <c r="E13" s="7">
        <f>$B13 * IFERROR(VLOOKUP("transport|SO2|Non-fatal heart attacks", US_national_yearly!$D:$AM, 13, FALSE) / VLOOKUP("transport|SO2|Non-fatal heart attacks", US_national_yearly!$D:$AM, 10, FALSE), 1)</f>
        <v>1.2189889818700504E-3</v>
      </c>
      <c r="F13" s="7">
        <f>$B13 * IFERROR(VLOOKUP("transport|SO2|Non-fatal heart attacks", US_national_yearly!$D:$AM, 14, FALSE) / VLOOKUP("transport|SO2|Non-fatal heart attacks", US_national_yearly!$D:$AM, 10, FALSE), 1)</f>
        <v>1.2518775996839817E-3</v>
      </c>
      <c r="G13" s="7">
        <f>$B13 * IFERROR(VLOOKUP("transport|SO2|Non-fatal heart attacks", US_national_yearly!$D:$AM, 15, FALSE) / VLOOKUP("transport|SO2|Non-fatal heart attacks", US_national_yearly!$D:$AM, 10, FALSE), 1)</f>
        <v>1.2828946168881826E-3</v>
      </c>
      <c r="H13" s="7">
        <f>$B13 * IFERROR(VLOOKUP("transport|SO2|Non-fatal heart attacks", US_national_yearly!$D:$AM, 16, FALSE) / VLOOKUP("transport|SO2|Non-fatal heart attacks", US_national_yearly!$D:$AM, 10, FALSE), 1)</f>
        <v>1.3139116340923837E-3</v>
      </c>
      <c r="I13" s="7">
        <f>$B13 * IFERROR(VLOOKUP("transport|SO2|Non-fatal heart attacks", US_national_yearly!$D:$AM, 17, FALSE) / VLOOKUP("transport|SO2|Non-fatal heart attacks", US_national_yearly!$D:$AM, 10, FALSE), 1)</f>
        <v>1.3388706095565691E-3</v>
      </c>
      <c r="J13" s="7">
        <f>$B13 * IFERROR(VLOOKUP("transport|SO2|Non-fatal heart attacks", US_national_yearly!$D:$AM, 18, FALSE) / VLOOKUP("transport|SO2|Non-fatal heart attacks", US_national_yearly!$D:$AM, 10, FALSE), 1)</f>
        <v>1.3638295850207547E-3</v>
      </c>
      <c r="K13" s="7">
        <f>$B13 * IFERROR(VLOOKUP("transport|SO2|Non-fatal heart attacks", US_national_yearly!$D:$AM, 19, FALSE) / VLOOKUP("transport|SO2|Non-fatal heart attacks", US_national_yearly!$D:$AM, 10, FALSE), 1)</f>
        <v>1.3887885604849401E-3</v>
      </c>
      <c r="L13" s="7">
        <f>$B13 * IFERROR(VLOOKUP("transport|SO2|Non-fatal heart attacks", US_national_yearly!$D:$AM, 20, FALSE) / VLOOKUP("transport|SO2|Non-fatal heart attacks", US_national_yearly!$D:$AM, 10, FALSE), 1)</f>
        <v>1.4137475359491259E-3</v>
      </c>
      <c r="M13" s="7">
        <f>$B13 * IFERROR(VLOOKUP("transport|SO2|Non-fatal heart attacks", US_national_yearly!$D:$AM, 21, FALSE) / VLOOKUP("transport|SO2|Non-fatal heart attacks", US_national_yearly!$D:$AM, 10, FALSE), 1)</f>
        <v>1.4387065114133118E-3</v>
      </c>
      <c r="N13" s="7">
        <f>$B13 * IFERROR(VLOOKUP("transport|SO2|Non-fatal heart attacks", US_national_yearly!$D:$AM, 22, FALSE) / VLOOKUP("transport|SO2|Non-fatal heart attacks", US_national_yearly!$D:$AM, 10, FALSE), 1)</f>
        <v>1.4549126757266381E-3</v>
      </c>
      <c r="O13" s="7">
        <f>$B13 * IFERROR(VLOOKUP("transport|SO2|Non-fatal heart attacks", US_national_yearly!$D:$AM, 23, FALSE) / VLOOKUP("transport|SO2|Non-fatal heart attacks", US_national_yearly!$D:$AM, 10, FALSE), 1)</f>
        <v>1.4711188400399651E-3</v>
      </c>
      <c r="P13" s="7">
        <f>$B13 * IFERROR(VLOOKUP("transport|SO2|Non-fatal heart attacks", US_national_yearly!$D:$AM, 24, FALSE) / VLOOKUP("transport|SO2|Non-fatal heart attacks", US_national_yearly!$D:$AM, 10, FALSE), 1)</f>
        <v>1.4873250043532921E-3</v>
      </c>
      <c r="Q13" s="7">
        <f>$B13 * IFERROR(VLOOKUP("transport|SO2|Non-fatal heart attacks", US_national_yearly!$D:$AM, 25, FALSE) / VLOOKUP("transport|SO2|Non-fatal heart attacks", US_national_yearly!$D:$AM, 10, FALSE), 1)</f>
        <v>1.5035311686666189E-3</v>
      </c>
      <c r="R13" s="7">
        <f>$B13 * IFERROR(VLOOKUP("transport|SO2|Non-fatal heart attacks", US_national_yearly!$D:$AM, 26, FALSE) / VLOOKUP("transport|SO2|Non-fatal heart attacks", US_national_yearly!$D:$AM, 10, FALSE), 1)</f>
        <v>1.5197373329799454E-3</v>
      </c>
      <c r="S13" s="7">
        <f>$B13 * IFERROR(VLOOKUP("transport|SO2|Non-fatal heart attacks", US_national_yearly!$D:$AM, 27, FALSE) / VLOOKUP("transport|SO2|Non-fatal heart attacks", US_national_yearly!$D:$AM, 10, FALSE), 1)</f>
        <v>1.5281984802116781E-3</v>
      </c>
      <c r="T13" s="7">
        <f>$B13 * IFERROR(VLOOKUP("transport|SO2|Non-fatal heart attacks", US_national_yearly!$D:$AM, 28, FALSE) / VLOOKUP("transport|SO2|Non-fatal heart attacks", US_national_yearly!$D:$AM, 10, FALSE), 1)</f>
        <v>1.5366596274434105E-3</v>
      </c>
      <c r="U13" s="7">
        <f>$B13 * IFERROR(VLOOKUP("transport|SO2|Non-fatal heart attacks", US_national_yearly!$D:$AM, 29, FALSE) / VLOOKUP("transport|SO2|Non-fatal heart attacks", US_national_yearly!$D:$AM, 10, FALSE), 1)</f>
        <v>1.5451207746751427E-3</v>
      </c>
      <c r="V13" s="7">
        <f>$B13 * IFERROR(VLOOKUP("transport|SO2|Non-fatal heart attacks", US_national_yearly!$D:$AM, 30, FALSE) / VLOOKUP("transport|SO2|Non-fatal heart attacks", US_national_yearly!$D:$AM, 10, FALSE), 1)</f>
        <v>1.5535819219068749E-3</v>
      </c>
      <c r="W13" s="7">
        <f>$B13 * IFERROR(VLOOKUP("transport|SO2|Non-fatal heart attacks", US_national_yearly!$D:$AM, 31, FALSE) / VLOOKUP("transport|SO2|Non-fatal heart attacks", US_national_yearly!$D:$AM, 10, FALSE), 1)</f>
        <v>1.5620430691386075E-3</v>
      </c>
      <c r="X13" s="7">
        <f>$B13 * IFERROR(VLOOKUP("transport|SO2|Non-fatal heart attacks", US_national_yearly!$D:$AM, 32, FALSE) / VLOOKUP("transport|SO2|Non-fatal heart attacks", US_national_yearly!$D:$AM, 10, FALSE), 1)</f>
        <v>1.5684304951694317E-3</v>
      </c>
      <c r="Y13" s="7">
        <f>$B13 * IFERROR(VLOOKUP("transport|SO2|Non-fatal heart attacks", US_national_yearly!$D:$AM, 33, FALSE) / VLOOKUP("transport|SO2|Non-fatal heart attacks", US_national_yearly!$D:$AM, 10, FALSE), 1)</f>
        <v>1.5748179212002559E-3</v>
      </c>
      <c r="Z13" s="7">
        <f>$B13 * IFERROR(VLOOKUP("transport|SO2|Non-fatal heart attacks", US_national_yearly!$D:$AM, 34, FALSE) / VLOOKUP("transport|SO2|Non-fatal heart attacks", US_national_yearly!$D:$AM, 10, FALSE), 1)</f>
        <v>1.5812053472310801E-3</v>
      </c>
      <c r="AA13" s="7">
        <f>$B13 * IFERROR(VLOOKUP("transport|SO2|Non-fatal heart attacks", US_national_yearly!$D:$AM, 35, FALSE) / VLOOKUP("transport|SO2|Non-fatal heart attacks", US_national_yearly!$D:$AM, 10, FALSE), 1)</f>
        <v>1.5875927732619042E-3</v>
      </c>
      <c r="AB13" s="7">
        <f>$B13 * IFERROR(VLOOKUP("transport|SO2|Non-fatal heart attacks", US_national_yearly!$D:$AM, 36, FALSE) / VLOOKUP("transport|SO2|Non-fatal heart attacks", US_national_yearly!$D:$AM, 10, FALSE), 1)</f>
        <v>1.5939801992927284E-3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0.82458519791848484</v>
      </c>
      <c r="C14" s="7">
        <f>$B14 * IFERROR(VLOOKUP("transport|SO2|Minor restricted activity days", US_national_yearly!$D:$AM, 11, FALSE) / VLOOKUP("transport|SO2|Minor restricted activity days", US_national_yearly!$D:$AM, 10, FALSE), 1)</f>
        <v>0.82666370245698018</v>
      </c>
      <c r="D14" s="7">
        <f>$B14 * IFERROR(VLOOKUP("transport|SO2|Minor restricted activity days", US_national_yearly!$D:$AM, 12, FALSE) / VLOOKUP("transport|SO2|Minor restricted activity days", US_national_yearly!$D:$AM, 10, FALSE), 1)</f>
        <v>0.82874220699547541</v>
      </c>
      <c r="E14" s="7">
        <f>$B14 * IFERROR(VLOOKUP("transport|SO2|Minor restricted activity days", US_national_yearly!$D:$AM, 13, FALSE) / VLOOKUP("transport|SO2|Minor restricted activity days", US_national_yearly!$D:$AM, 10, FALSE), 1)</f>
        <v>0.83082071153397086</v>
      </c>
      <c r="F14" s="7">
        <f>$B14 * IFERROR(VLOOKUP("transport|SO2|Minor restricted activity days", US_national_yearly!$D:$AM, 14, FALSE) / VLOOKUP("transport|SO2|Minor restricted activity days", US_national_yearly!$D:$AM, 10, FALSE), 1)</f>
        <v>0.83289921607246598</v>
      </c>
      <c r="G14" s="7">
        <f>$B14 * IFERROR(VLOOKUP("transport|SO2|Minor restricted activity days", US_national_yearly!$D:$AM, 15, FALSE) / VLOOKUP("transport|SO2|Minor restricted activity days", US_national_yearly!$D:$AM, 10, FALSE), 1)</f>
        <v>0.83595857055970502</v>
      </c>
      <c r="H14" s="7">
        <f>$B14 * IFERROR(VLOOKUP("transport|SO2|Minor restricted activity days", US_national_yearly!$D:$AM, 16, FALSE) / VLOOKUP("transport|SO2|Minor restricted activity days", US_national_yearly!$D:$AM, 10, FALSE), 1)</f>
        <v>0.83901792504694406</v>
      </c>
      <c r="I14" s="7">
        <f>$B14 * IFERROR(VLOOKUP("transport|SO2|Minor restricted activity days", US_national_yearly!$D:$AM, 17, FALSE) / VLOOKUP("transport|SO2|Minor restricted activity days", US_national_yearly!$D:$AM, 10, FALSE), 1)</f>
        <v>0.8442353689596811</v>
      </c>
      <c r="J14" s="7">
        <f>$B14 * IFERROR(VLOOKUP("transport|SO2|Minor restricted activity days", US_national_yearly!$D:$AM, 18, FALSE) / VLOOKUP("transport|SO2|Minor restricted activity days", US_national_yearly!$D:$AM, 10, FALSE), 1)</f>
        <v>0.84945281287241814</v>
      </c>
      <c r="K14" s="7">
        <f>$B14 * IFERROR(VLOOKUP("transport|SO2|Minor restricted activity days", US_national_yearly!$D:$AM, 19, FALSE) / VLOOKUP("transport|SO2|Minor restricted activity days", US_national_yearly!$D:$AM, 10, FALSE), 1)</f>
        <v>0.8546702567851554</v>
      </c>
      <c r="L14" s="7">
        <f>$B14 * IFERROR(VLOOKUP("transport|SO2|Minor restricted activity days", US_national_yearly!$D:$AM, 20, FALSE) / VLOOKUP("transport|SO2|Minor restricted activity days", US_national_yearly!$D:$AM, 10, FALSE), 1)</f>
        <v>0.85988770069789233</v>
      </c>
      <c r="M14" s="7">
        <f>$B14 * IFERROR(VLOOKUP("transport|SO2|Minor restricted activity days", US_national_yearly!$D:$AM, 21, FALSE) / VLOOKUP("transport|SO2|Minor restricted activity days", US_national_yearly!$D:$AM, 10, FALSE), 1)</f>
        <v>0.86510514461062937</v>
      </c>
      <c r="N14" s="7">
        <f>$B14 * IFERROR(VLOOKUP("transport|SO2|Minor restricted activity days", US_national_yearly!$D:$AM, 22, FALSE) / VLOOKUP("transport|SO2|Minor restricted activity days", US_national_yearly!$D:$AM, 10, FALSE), 1)</f>
        <v>0.87224177069753361</v>
      </c>
      <c r="O14" s="7">
        <f>$B14 * IFERROR(VLOOKUP("transport|SO2|Minor restricted activity days", US_national_yearly!$D:$AM, 23, FALSE) / VLOOKUP("transport|SO2|Minor restricted activity days", US_national_yearly!$D:$AM, 10, FALSE), 1)</f>
        <v>0.87937839678443774</v>
      </c>
      <c r="P14" s="7">
        <f>$B14 * IFERROR(VLOOKUP("transport|SO2|Minor restricted activity days", US_national_yearly!$D:$AM, 24, FALSE) / VLOOKUP("transport|SO2|Minor restricted activity days", US_national_yearly!$D:$AM, 10, FALSE), 1)</f>
        <v>0.88651502287134198</v>
      </c>
      <c r="Q14" s="7">
        <f>$B14 * IFERROR(VLOOKUP("transport|SO2|Minor restricted activity days", US_national_yearly!$D:$AM, 25, FALSE) / VLOOKUP("transport|SO2|Minor restricted activity days", US_national_yearly!$D:$AM, 10, FALSE), 1)</f>
        <v>0.89365164895824623</v>
      </c>
      <c r="R14" s="7">
        <f>$B14 * IFERROR(VLOOKUP("transport|SO2|Minor restricted activity days", US_national_yearly!$D:$AM, 26, FALSE) / VLOOKUP("transport|SO2|Minor restricted activity days", US_national_yearly!$D:$AM, 10, FALSE), 1)</f>
        <v>0.90078827504515036</v>
      </c>
      <c r="S14" s="7">
        <f>$B14 * IFERROR(VLOOKUP("transport|SO2|Minor restricted activity days", US_national_yearly!$D:$AM, 27, FALSE) / VLOOKUP("transport|SO2|Minor restricted activity days", US_national_yearly!$D:$AM, 10, FALSE), 1)</f>
        <v>0.90806476383035473</v>
      </c>
      <c r="T14" s="7">
        <f>$B14 * IFERROR(VLOOKUP("transport|SO2|Minor restricted activity days", US_national_yearly!$D:$AM, 28, FALSE) / VLOOKUP("transport|SO2|Minor restricted activity days", US_national_yearly!$D:$AM, 10, FALSE), 1)</f>
        <v>0.9153412526155591</v>
      </c>
      <c r="U14" s="7">
        <f>$B14 * IFERROR(VLOOKUP("transport|SO2|Minor restricted activity days", US_national_yearly!$D:$AM, 29, FALSE) / VLOOKUP("transport|SO2|Minor restricted activity days", US_national_yearly!$D:$AM, 10, FALSE), 1)</f>
        <v>0.92261774140076336</v>
      </c>
      <c r="V14" s="7">
        <f>$B14 * IFERROR(VLOOKUP("transport|SO2|Minor restricted activity days", US_national_yearly!$D:$AM, 30, FALSE) / VLOOKUP("transport|SO2|Minor restricted activity days", US_national_yearly!$D:$AM, 10, FALSE), 1)</f>
        <v>0.92989423018596773</v>
      </c>
      <c r="W14" s="7">
        <f>$B14 * IFERROR(VLOOKUP("transport|SO2|Minor restricted activity days", US_national_yearly!$D:$AM, 31, FALSE) / VLOOKUP("transport|SO2|Minor restricted activity days", US_national_yearly!$D:$AM, 10, FALSE), 1)</f>
        <v>0.93717071897117221</v>
      </c>
      <c r="X14" s="7">
        <f>$B14 * IFERROR(VLOOKUP("transport|SO2|Minor restricted activity days", US_national_yearly!$D:$AM, 32, FALSE) / VLOOKUP("transport|SO2|Minor restricted activity days", US_national_yearly!$D:$AM, 10, FALSE), 1)</f>
        <v>0.94356981100298054</v>
      </c>
      <c r="Y14" s="7">
        <f>$B14 * IFERROR(VLOOKUP("transport|SO2|Minor restricted activity days", US_national_yearly!$D:$AM, 33, FALSE) / VLOOKUP("transport|SO2|Minor restricted activity days", US_national_yearly!$D:$AM, 10, FALSE), 1)</f>
        <v>0.94996890303478887</v>
      </c>
      <c r="Z14" s="7">
        <f>$B14 * IFERROR(VLOOKUP("transport|SO2|Minor restricted activity days", US_national_yearly!$D:$AM, 34, FALSE) / VLOOKUP("transport|SO2|Minor restricted activity days", US_national_yearly!$D:$AM, 10, FALSE), 1)</f>
        <v>0.95636799506659731</v>
      </c>
      <c r="AA14" s="7">
        <f>$B14 * IFERROR(VLOOKUP("transport|SO2|Minor restricted activity days", US_national_yearly!$D:$AM, 35, FALSE) / VLOOKUP("transport|SO2|Minor restricted activity days", US_national_yearly!$D:$AM, 10, FALSE), 1)</f>
        <v>0.96276708709840564</v>
      </c>
      <c r="AB14" s="7">
        <f>$B14 * IFERROR(VLOOKUP("transport|SO2|Minor restricted activity days", US_national_yearly!$D:$AM, 36, FALSE) / VLOOKUP("transport|SO2|Minor restricted activity days", US_national_yearly!$D:$AM, 10, FALSE), 1)</f>
        <v>0.96916617913021408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0.13957306033230488</v>
      </c>
      <c r="C15" s="7">
        <f>$B15 * IFERROR(VLOOKUP("transport|SO2|Work loss days", US_national_yearly!$D:$AM, 11, FALSE) / VLOOKUP("transport|SO2|Work loss days", US_national_yearly!$D:$AM, 10, FALSE), 1)</f>
        <v>0.14002525486460582</v>
      </c>
      <c r="D15" s="7">
        <f>$B15 * IFERROR(VLOOKUP("transport|SO2|Work loss days", US_national_yearly!$D:$AM, 12, FALSE) / VLOOKUP("transport|SO2|Work loss days", US_national_yearly!$D:$AM, 10, FALSE), 1)</f>
        <v>0.14047744939690673</v>
      </c>
      <c r="E15" s="7">
        <f>$B15 * IFERROR(VLOOKUP("transport|SO2|Work loss days", US_national_yearly!$D:$AM, 13, FALSE) / VLOOKUP("transport|SO2|Work loss days", US_national_yearly!$D:$AM, 10, FALSE), 1)</f>
        <v>0.14092964392920768</v>
      </c>
      <c r="F15" s="7">
        <f>$B15 * IFERROR(VLOOKUP("transport|SO2|Work loss days", US_national_yearly!$D:$AM, 14, FALSE) / VLOOKUP("transport|SO2|Work loss days", US_national_yearly!$D:$AM, 10, FALSE), 1)</f>
        <v>0.14138183846150859</v>
      </c>
      <c r="G15" s="7">
        <f>$B15 * IFERROR(VLOOKUP("transport|SO2|Work loss days", US_national_yearly!$D:$AM, 15, FALSE) / VLOOKUP("transport|SO2|Work loss days", US_national_yearly!$D:$AM, 10, FALSE), 1)</f>
        <v>0.14197268594749723</v>
      </c>
      <c r="H15" s="7">
        <f>$B15 * IFERROR(VLOOKUP("transport|SO2|Work loss days", US_national_yearly!$D:$AM, 16, FALSE) / VLOOKUP("transport|SO2|Work loss days", US_national_yearly!$D:$AM, 10, FALSE), 1)</f>
        <v>0.14256353343348582</v>
      </c>
      <c r="I15" s="7">
        <f>$B15 * IFERROR(VLOOKUP("transport|SO2|Work loss days", US_national_yearly!$D:$AM, 17, FALSE) / VLOOKUP("transport|SO2|Work loss days", US_national_yearly!$D:$AM, 10, FALSE), 1)</f>
        <v>0.14342786398993435</v>
      </c>
      <c r="J15" s="7">
        <f>$B15 * IFERROR(VLOOKUP("transport|SO2|Work loss days", US_national_yearly!$D:$AM, 18, FALSE) / VLOOKUP("transport|SO2|Work loss days", US_national_yearly!$D:$AM, 10, FALSE), 1)</f>
        <v>0.14429219454638284</v>
      </c>
      <c r="K15" s="7">
        <f>$B15 * IFERROR(VLOOKUP("transport|SO2|Work loss days", US_national_yearly!$D:$AM, 19, FALSE) / VLOOKUP("transport|SO2|Work loss days", US_national_yearly!$D:$AM, 10, FALSE), 1)</f>
        <v>0.14515652510283136</v>
      </c>
      <c r="L15" s="7">
        <f>$B15 * IFERROR(VLOOKUP("transport|SO2|Work loss days", US_national_yearly!$D:$AM, 20, FALSE) / VLOOKUP("transport|SO2|Work loss days", US_national_yearly!$D:$AM, 10, FALSE), 1)</f>
        <v>0.14602085565927989</v>
      </c>
      <c r="M15" s="7">
        <f>$B15 * IFERROR(VLOOKUP("transport|SO2|Work loss days", US_national_yearly!$D:$AM, 21, FALSE) / VLOOKUP("transport|SO2|Work loss days", US_national_yearly!$D:$AM, 10, FALSE), 1)</f>
        <v>0.14688518621572841</v>
      </c>
      <c r="N15" s="7">
        <f>$B15 * IFERROR(VLOOKUP("transport|SO2|Work loss days", US_national_yearly!$D:$AM, 22, FALSE) / VLOOKUP("transport|SO2|Work loss days", US_national_yearly!$D:$AM, 10, FALSE), 1)</f>
        <v>0.14796891666824846</v>
      </c>
      <c r="O15" s="7">
        <f>$B15 * IFERROR(VLOOKUP("transport|SO2|Work loss days", US_national_yearly!$D:$AM, 23, FALSE) / VLOOKUP("transport|SO2|Work loss days", US_national_yearly!$D:$AM, 10, FALSE), 1)</f>
        <v>0.14905264712076852</v>
      </c>
      <c r="P15" s="7">
        <f>$B15 * IFERROR(VLOOKUP("transport|SO2|Work loss days", US_national_yearly!$D:$AM, 24, FALSE) / VLOOKUP("transport|SO2|Work loss days", US_national_yearly!$D:$AM, 10, FALSE), 1)</f>
        <v>0.15013637757328854</v>
      </c>
      <c r="Q15" s="7">
        <f>$B15 * IFERROR(VLOOKUP("transport|SO2|Work loss days", US_national_yearly!$D:$AM, 25, FALSE) / VLOOKUP("transport|SO2|Work loss days", US_national_yearly!$D:$AM, 10, FALSE), 1)</f>
        <v>0.1512201080258086</v>
      </c>
      <c r="R15" s="7">
        <f>$B15 * IFERROR(VLOOKUP("transport|SO2|Work loss days", US_national_yearly!$D:$AM, 26, FALSE) / VLOOKUP("transport|SO2|Work loss days", US_national_yearly!$D:$AM, 10, FALSE), 1)</f>
        <v>0.15230383847832865</v>
      </c>
      <c r="S15" s="7">
        <f>$B15 * IFERROR(VLOOKUP("transport|SO2|Work loss days", US_national_yearly!$D:$AM, 27, FALSE) / VLOOKUP("transport|SO2|Work loss days", US_national_yearly!$D:$AM, 10, FALSE), 1)</f>
        <v>0.15351490368600615</v>
      </c>
      <c r="T15" s="7">
        <f>$B15 * IFERROR(VLOOKUP("transport|SO2|Work loss days", US_national_yearly!$D:$AM, 28, FALSE) / VLOOKUP("transport|SO2|Work loss days", US_national_yearly!$D:$AM, 10, FALSE), 1)</f>
        <v>0.15472596889368365</v>
      </c>
      <c r="U15" s="7">
        <f>$B15 * IFERROR(VLOOKUP("transport|SO2|Work loss days", US_national_yearly!$D:$AM, 29, FALSE) / VLOOKUP("transport|SO2|Work loss days", US_national_yearly!$D:$AM, 10, FALSE), 1)</f>
        <v>0.15593703410136114</v>
      </c>
      <c r="V15" s="7">
        <f>$B15 * IFERROR(VLOOKUP("transport|SO2|Work loss days", US_national_yearly!$D:$AM, 30, FALSE) / VLOOKUP("transport|SO2|Work loss days", US_national_yearly!$D:$AM, 10, FALSE), 1)</f>
        <v>0.15714809930903864</v>
      </c>
      <c r="W15" s="7">
        <f>$B15 * IFERROR(VLOOKUP("transport|SO2|Work loss days", US_national_yearly!$D:$AM, 31, FALSE) / VLOOKUP("transport|SO2|Work loss days", US_national_yearly!$D:$AM, 10, FALSE), 1)</f>
        <v>0.15835916451671617</v>
      </c>
      <c r="X15" s="7">
        <f>$B15 * IFERROR(VLOOKUP("transport|SO2|Work loss days", US_national_yearly!$D:$AM, 32, FALSE) / VLOOKUP("transport|SO2|Work loss days", US_national_yearly!$D:$AM, 10, FALSE), 1)</f>
        <v>0.15944653414408133</v>
      </c>
      <c r="Y15" s="7">
        <f>$B15 * IFERROR(VLOOKUP("transport|SO2|Work loss days", US_national_yearly!$D:$AM, 33, FALSE) / VLOOKUP("transport|SO2|Work loss days", US_national_yearly!$D:$AM, 10, FALSE), 1)</f>
        <v>0.16053390377144652</v>
      </c>
      <c r="Z15" s="7">
        <f>$B15 * IFERROR(VLOOKUP("transport|SO2|Work loss days", US_national_yearly!$D:$AM, 34, FALSE) / VLOOKUP("transport|SO2|Work loss days", US_national_yearly!$D:$AM, 10, FALSE), 1)</f>
        <v>0.16162127339881172</v>
      </c>
      <c r="AA15" s="7">
        <f>$B15 * IFERROR(VLOOKUP("transport|SO2|Work loss days", US_national_yearly!$D:$AM, 35, FALSE) / VLOOKUP("transport|SO2|Work loss days", US_national_yearly!$D:$AM, 10, FALSE), 1)</f>
        <v>0.16270864302617691</v>
      </c>
      <c r="AB15" s="7">
        <f>$B15 * IFERROR(VLOOKUP("transport|SO2|Work loss days", US_national_yearly!$D:$AM, 36, FALSE) / VLOOKUP("transport|SO2|Work loss days", US_national_yearly!$D:$AM, 10, FALSE), 1)</f>
        <v>0.1637960126535421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3.1536060779440046E-4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3.2489832022288044E-4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3.3443603265136037E-4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3.4397374507984035E-4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3.5351145750832038E-4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3.6264767912010457E-4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3.7178390073188886E-4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3.7961185973510453E-4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3.8743981873832014E-4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3.9526777774153581E-4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4.0309573674475148E-4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4.1092369574796705E-4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4.1618230106913508E-4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4.2144090639030301E-4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4.2669951171147094E-4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4.3195811703263887E-4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4.3721672235380691E-4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4.3998237433969266E-4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4.4274802632557841E-4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4.4551367831146421E-4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4.4827933029734996E-4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4.5104498228323576E-4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4.5290165588683049E-4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4.5475832949042527E-4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4.5661500309402005E-4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4.5847167669761489E-4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4.6032835030120956E-4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6.7183041546051304E-3</v>
      </c>
      <c r="C2" s="7">
        <f>$B2 * IFERROR(VLOOKUP("electricity|PM25|Premature mortality", US_national_yearly!$D:$AM, 11, FALSE) / VLOOKUP("electricity|PM25|Premature mortality", US_national_yearly!$D:$AM, 10, FALSE), 1)</f>
        <v>6.8015186670587627E-3</v>
      </c>
      <c r="D2" s="7">
        <f>$B2 * IFERROR(VLOOKUP("electricity|PM25|Premature mortality", US_national_yearly!$D:$AM, 12, FALSE) / VLOOKUP("electricity|PM25|Premature mortality", US_national_yearly!$D:$AM, 10, FALSE), 1)</f>
        <v>6.8847331795123959E-3</v>
      </c>
      <c r="E2" s="7">
        <f>$B2 * IFERROR(VLOOKUP("electricity|PM25|Premature mortality", US_national_yearly!$D:$AM, 13, FALSE) / VLOOKUP("electricity|PM25|Premature mortality", US_national_yearly!$D:$AM, 10, FALSE), 1)</f>
        <v>6.9679476919660283E-3</v>
      </c>
      <c r="F2" s="7">
        <f>$B2 * IFERROR(VLOOKUP("electricity|PM25|Premature mortality", US_national_yearly!$D:$AM, 14, FALSE) / VLOOKUP("electricity|PM25|Premature mortality", US_national_yearly!$D:$AM, 10, FALSE), 1)</f>
        <v>7.0511622044196632E-3</v>
      </c>
      <c r="G2" s="7">
        <f>$B2 * IFERROR(VLOOKUP("electricity|PM25|Premature mortality", US_national_yearly!$D:$AM, 15, FALSE) / VLOOKUP("electricity|PM25|Premature mortality", US_national_yearly!$D:$AM, 10, FALSE), 1)</f>
        <v>7.2145999323657579E-3</v>
      </c>
      <c r="H2" s="7">
        <f>$B2 * IFERROR(VLOOKUP("electricity|PM25|Premature mortality", US_national_yearly!$D:$AM, 16, FALSE) / VLOOKUP("electricity|PM25|Premature mortality", US_national_yearly!$D:$AM, 10, FALSE), 1)</f>
        <v>7.3780376603118543E-3</v>
      </c>
      <c r="I2" s="7">
        <f>$B2 * IFERROR(VLOOKUP("electricity|PM25|Premature mortality", US_national_yearly!$D:$AM, 17, FALSE) / VLOOKUP("electricity|PM25|Premature mortality", US_national_yearly!$D:$AM, 10, FALSE), 1)</f>
        <v>7.4878528580198216E-3</v>
      </c>
      <c r="J2" s="7">
        <f>$B2 * IFERROR(VLOOKUP("electricity|PM25|Premature mortality", US_national_yearly!$D:$AM, 18, FALSE) / VLOOKUP("electricity|PM25|Premature mortality", US_national_yearly!$D:$AM, 10, FALSE), 1)</f>
        <v>7.5976680557277897E-3</v>
      </c>
      <c r="K2" s="7">
        <f>$B2 * IFERROR(VLOOKUP("electricity|PM25|Premature mortality", US_national_yearly!$D:$AM, 19, FALSE) / VLOOKUP("electricity|PM25|Premature mortality", US_national_yearly!$D:$AM, 10, FALSE), 1)</f>
        <v>7.7074832534357561E-3</v>
      </c>
      <c r="L2" s="7">
        <f>$B2 * IFERROR(VLOOKUP("electricity|PM25|Premature mortality", US_national_yearly!$D:$AM, 20, FALSE) / VLOOKUP("electricity|PM25|Premature mortality", US_national_yearly!$D:$AM, 10, FALSE), 1)</f>
        <v>7.8172984511437251E-3</v>
      </c>
      <c r="M2" s="7">
        <f>$B2 * IFERROR(VLOOKUP("electricity|PM25|Premature mortality", US_national_yearly!$D:$AM, 21, FALSE) / VLOOKUP("electricity|PM25|Premature mortality", US_national_yearly!$D:$AM, 10, FALSE), 1)</f>
        <v>7.9271136488516906E-3</v>
      </c>
      <c r="N2" s="7">
        <f>$B2 * IFERROR(VLOOKUP("electricity|PM25|Premature mortality", US_national_yearly!$D:$AM, 22, FALSE) / VLOOKUP("electricity|PM25|Premature mortality", US_national_yearly!$D:$AM, 10, FALSE), 1)</f>
        <v>8.0146487943173438E-3</v>
      </c>
      <c r="O2" s="7">
        <f>$B2 * IFERROR(VLOOKUP("electricity|PM25|Premature mortality", US_national_yearly!$D:$AM, 23, FALSE) / VLOOKUP("electricity|PM25|Premature mortality", US_national_yearly!$D:$AM, 10, FALSE), 1)</f>
        <v>8.1021839397829951E-3</v>
      </c>
      <c r="P2" s="7">
        <f>$B2 * IFERROR(VLOOKUP("electricity|PM25|Premature mortality", US_national_yearly!$D:$AM, 24, FALSE) / VLOOKUP("electricity|PM25|Premature mortality", US_national_yearly!$D:$AM, 10, FALSE), 1)</f>
        <v>8.1897190852486482E-3</v>
      </c>
      <c r="Q2" s="7">
        <f>$B2 * IFERROR(VLOOKUP("electricity|PM25|Premature mortality", US_national_yearly!$D:$AM, 25, FALSE) / VLOOKUP("electricity|PM25|Premature mortality", US_national_yearly!$D:$AM, 10, FALSE), 1)</f>
        <v>8.2772542307142996E-3</v>
      </c>
      <c r="R2" s="7">
        <f>$B2 * IFERROR(VLOOKUP("electricity|PM25|Premature mortality", US_national_yearly!$D:$AM, 26, FALSE) / VLOOKUP("electricity|PM25|Premature mortality", US_national_yearly!$D:$AM, 10, FALSE), 1)</f>
        <v>8.3647893761799527E-3</v>
      </c>
      <c r="S2" s="7">
        <f>$B2 * IFERROR(VLOOKUP("electricity|PM25|Premature mortality", US_national_yearly!$D:$AM, 27, FALSE) / VLOOKUP("electricity|PM25|Premature mortality", US_national_yearly!$D:$AM, 10, FALSE), 1)</f>
        <v>8.4148774555817332E-3</v>
      </c>
      <c r="T2" s="7">
        <f>$B2 * IFERROR(VLOOKUP("electricity|PM25|Premature mortality", US_national_yearly!$D:$AM, 28, FALSE) / VLOOKUP("electricity|PM25|Premature mortality", US_national_yearly!$D:$AM, 10, FALSE), 1)</f>
        <v>8.464965534983512E-3</v>
      </c>
      <c r="U2" s="7">
        <f>$B2 * IFERROR(VLOOKUP("electricity|PM25|Premature mortality", US_national_yearly!$D:$AM, 29, FALSE) / VLOOKUP("electricity|PM25|Premature mortality", US_national_yearly!$D:$AM, 10, FALSE), 1)</f>
        <v>8.5150536143852942E-3</v>
      </c>
      <c r="V2" s="7">
        <f>$B2 * IFERROR(VLOOKUP("electricity|PM25|Premature mortality", US_national_yearly!$D:$AM, 30, FALSE) / VLOOKUP("electricity|PM25|Premature mortality", US_national_yearly!$D:$AM, 10, FALSE), 1)</f>
        <v>8.565141693787073E-3</v>
      </c>
      <c r="W2" s="7">
        <f>$B2 * IFERROR(VLOOKUP("electricity|PM25|Premature mortality", US_national_yearly!$D:$AM, 31, FALSE) / VLOOKUP("electricity|PM25|Premature mortality", US_national_yearly!$D:$AM, 10, FALSE), 1)</f>
        <v>8.6152297731888535E-3</v>
      </c>
      <c r="X2" s="7">
        <f>$B2 * IFERROR(VLOOKUP("electricity|PM25|Premature mortality", US_national_yearly!$D:$AM, 32, FALSE) / VLOOKUP("electricity|PM25|Premature mortality", US_national_yearly!$D:$AM, 10, FALSE), 1)</f>
        <v>8.6291439177975469E-3</v>
      </c>
      <c r="Y2" s="7">
        <f>$B2 * IFERROR(VLOOKUP("electricity|PM25|Premature mortality", US_national_yearly!$D:$AM, 33, FALSE) / VLOOKUP("electricity|PM25|Premature mortality", US_national_yearly!$D:$AM, 10, FALSE), 1)</f>
        <v>8.6430580624062385E-3</v>
      </c>
      <c r="Z2" s="7">
        <f>$B2 * IFERROR(VLOOKUP("electricity|PM25|Premature mortality", US_national_yearly!$D:$AM, 34, FALSE) / VLOOKUP("electricity|PM25|Premature mortality", US_national_yearly!$D:$AM, 10, FALSE), 1)</f>
        <v>8.6569722070149301E-3</v>
      </c>
      <c r="AA2" s="7">
        <f>$B2 * IFERROR(VLOOKUP("electricity|PM25|Premature mortality", US_national_yearly!$D:$AM, 35, FALSE) / VLOOKUP("electricity|PM25|Premature mortality", US_national_yearly!$D:$AM, 10, FALSE), 1)</f>
        <v>8.6708863516236252E-3</v>
      </c>
      <c r="AB2" s="7">
        <f>$B2 * IFERROR(VLOOKUP("electricity|PM25|Premature mortality", US_national_yearly!$D:$AM, 36, FALSE) / VLOOKUP("electricity|PM25|Premature mortality", US_national_yearly!$D:$AM, 10, FALSE), 1)</f>
        <v>8.6848004962323169E-3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1.6209613741017525E-5</v>
      </c>
      <c r="C3" s="7">
        <f>$B3 * IFERROR(VLOOKUP("electricity|PM25|Infant mortality", US_national_yearly!$D:$AM, 11, FALSE) / VLOOKUP("electricity|PM25|Infant mortality", US_national_yearly!$D:$AM, 10, FALSE), 1)</f>
        <v>1.606837941732229E-5</v>
      </c>
      <c r="D3" s="7">
        <f>$B3 * IFERROR(VLOOKUP("electricity|PM25|Infant mortality", US_national_yearly!$D:$AM, 12, FALSE) / VLOOKUP("electricity|PM25|Infant mortality", US_national_yearly!$D:$AM, 10, FALSE), 1)</f>
        <v>1.592714509362706E-5</v>
      </c>
      <c r="E3" s="7">
        <f>$B3 * IFERROR(VLOOKUP("electricity|PM25|Infant mortality", US_national_yearly!$D:$AM, 13, FALSE) / VLOOKUP("electricity|PM25|Infant mortality", US_national_yearly!$D:$AM, 10, FALSE), 1)</f>
        <v>1.5785910769931829E-5</v>
      </c>
      <c r="F3" s="7">
        <f>$B3 * IFERROR(VLOOKUP("electricity|PM25|Infant mortality", US_national_yearly!$D:$AM, 14, FALSE) / VLOOKUP("electricity|PM25|Infant mortality", US_national_yearly!$D:$AM, 10, FALSE), 1)</f>
        <v>1.5644676446236595E-5</v>
      </c>
      <c r="G3" s="7">
        <f>$B3 * IFERROR(VLOOKUP("electricity|PM25|Infant mortality", US_national_yearly!$D:$AM, 15, FALSE) / VLOOKUP("electricity|PM25|Infant mortality", US_national_yearly!$D:$AM, 10, FALSE), 1)</f>
        <v>1.0375061799365367E-5</v>
      </c>
      <c r="H3" s="7">
        <f>$B3 * IFERROR(VLOOKUP("electricity|PM25|Infant mortality", US_national_yearly!$D:$AM, 16, FALSE) / VLOOKUP("electricity|PM25|Infant mortality", US_national_yearly!$D:$AM, 10, FALSE), 1)</f>
        <v>5.1054471524941381E-6</v>
      </c>
      <c r="I3" s="7">
        <f>$B3 * IFERROR(VLOOKUP("electricity|PM25|Infant mortality", US_national_yearly!$D:$AM, 17, FALSE) / VLOOKUP("electricity|PM25|Infant mortality", US_national_yearly!$D:$AM, 10, FALSE), 1)</f>
        <v>5.0694003561573975E-6</v>
      </c>
      <c r="J3" s="7">
        <f>$B3 * IFERROR(VLOOKUP("electricity|PM25|Infant mortality", US_national_yearly!$D:$AM, 18, FALSE) / VLOOKUP("electricity|PM25|Infant mortality", US_national_yearly!$D:$AM, 10, FALSE), 1)</f>
        <v>5.0333535598206595E-6</v>
      </c>
      <c r="K3" s="7">
        <f>$B3 * IFERROR(VLOOKUP("electricity|PM25|Infant mortality", US_national_yearly!$D:$AM, 19, FALSE) / VLOOKUP("electricity|PM25|Infant mortality", US_national_yearly!$D:$AM, 10, FALSE), 1)</f>
        <v>4.9973067634839189E-6</v>
      </c>
      <c r="L3" s="7">
        <f>$B3 * IFERROR(VLOOKUP("electricity|PM25|Infant mortality", US_national_yearly!$D:$AM, 20, FALSE) / VLOOKUP("electricity|PM25|Infant mortality", US_national_yearly!$D:$AM, 10, FALSE), 1)</f>
        <v>4.9612599671471792E-6</v>
      </c>
      <c r="M3" s="7">
        <f>$B3 * IFERROR(VLOOKUP("electricity|PM25|Infant mortality", US_national_yearly!$D:$AM, 21, FALSE) / VLOOKUP("electricity|PM25|Infant mortality", US_national_yearly!$D:$AM, 10, FALSE), 1)</f>
        <v>4.9252131708104403E-6</v>
      </c>
      <c r="N3" s="7">
        <f>$B3 * IFERROR(VLOOKUP("electricity|PM25|Infant mortality", US_national_yearly!$D:$AM, 22, FALSE) / VLOOKUP("electricity|PM25|Infant mortality", US_national_yearly!$D:$AM, 10, FALSE), 1)</f>
        <v>4.9020302949158906E-6</v>
      </c>
      <c r="O3" s="7">
        <f>$B3 * IFERROR(VLOOKUP("electricity|PM25|Infant mortality", US_national_yearly!$D:$AM, 23, FALSE) / VLOOKUP("electricity|PM25|Infant mortality", US_national_yearly!$D:$AM, 10, FALSE), 1)</f>
        <v>4.8788474190213418E-6</v>
      </c>
      <c r="P3" s="7">
        <f>$B3 * IFERROR(VLOOKUP("electricity|PM25|Infant mortality", US_national_yearly!$D:$AM, 24, FALSE) / VLOOKUP("electricity|PM25|Infant mortality", US_national_yearly!$D:$AM, 10, FALSE), 1)</f>
        <v>4.8556645431267913E-6</v>
      </c>
      <c r="Q3" s="7">
        <f>$B3 * IFERROR(VLOOKUP("electricity|PM25|Infant mortality", US_national_yearly!$D:$AM, 25, FALSE) / VLOOKUP("electricity|PM25|Infant mortality", US_national_yearly!$D:$AM, 10, FALSE), 1)</f>
        <v>4.8324816672322424E-6</v>
      </c>
      <c r="R3" s="7">
        <f>$B3 * IFERROR(VLOOKUP("electricity|PM25|Infant mortality", US_national_yearly!$D:$AM, 26, FALSE) / VLOOKUP("electricity|PM25|Infant mortality", US_national_yearly!$D:$AM, 10, FALSE), 1)</f>
        <v>4.8092987913376928E-6</v>
      </c>
      <c r="S3" s="7">
        <f>$B3 * IFERROR(VLOOKUP("electricity|PM25|Infant mortality", US_national_yearly!$D:$AM, 27, FALSE) / VLOOKUP("electricity|PM25|Infant mortality", US_national_yearly!$D:$AM, 10, FALSE), 1)</f>
        <v>4.7815251879594891E-6</v>
      </c>
      <c r="T3" s="7">
        <f>$B3 * IFERROR(VLOOKUP("electricity|PM25|Infant mortality", US_national_yearly!$D:$AM, 28, FALSE) / VLOOKUP("electricity|PM25|Infant mortality", US_national_yearly!$D:$AM, 10, FALSE), 1)</f>
        <v>4.7537515845812855E-6</v>
      </c>
      <c r="U3" s="7">
        <f>$B3 * IFERROR(VLOOKUP("electricity|PM25|Infant mortality", US_national_yearly!$D:$AM, 29, FALSE) / VLOOKUP("electricity|PM25|Infant mortality", US_national_yearly!$D:$AM, 10, FALSE), 1)</f>
        <v>4.7259779812030827E-6</v>
      </c>
      <c r="V3" s="7">
        <f>$B3 * IFERROR(VLOOKUP("electricity|PM25|Infant mortality", US_national_yearly!$D:$AM, 30, FALSE) / VLOOKUP("electricity|PM25|Infant mortality", US_national_yearly!$D:$AM, 10, FALSE), 1)</f>
        <v>4.6982043778248791E-6</v>
      </c>
      <c r="W3" s="7">
        <f>$B3 * IFERROR(VLOOKUP("electricity|PM25|Infant mortality", US_national_yearly!$D:$AM, 31, FALSE) / VLOOKUP("electricity|PM25|Infant mortality", US_national_yearly!$D:$AM, 10, FALSE), 1)</f>
        <v>4.6704307744466754E-6</v>
      </c>
      <c r="X3" s="7">
        <f>$B3 * IFERROR(VLOOKUP("electricity|PM25|Infant mortality", US_national_yearly!$D:$AM, 32, FALSE) / VLOOKUP("electricity|PM25|Infant mortality", US_national_yearly!$D:$AM, 10, FALSE), 1)</f>
        <v>4.6417302230481869E-6</v>
      </c>
      <c r="Y3" s="7">
        <f>$B3 * IFERROR(VLOOKUP("electricity|PM25|Infant mortality", US_national_yearly!$D:$AM, 33, FALSE) / VLOOKUP("electricity|PM25|Infant mortality", US_national_yearly!$D:$AM, 10, FALSE), 1)</f>
        <v>4.6130296716496983E-6</v>
      </c>
      <c r="Z3" s="7">
        <f>$B3 * IFERROR(VLOOKUP("electricity|PM25|Infant mortality", US_national_yearly!$D:$AM, 34, FALSE) / VLOOKUP("electricity|PM25|Infant mortality", US_national_yearly!$D:$AM, 10, FALSE), 1)</f>
        <v>4.5843291202512097E-6</v>
      </c>
      <c r="AA3" s="7">
        <f>$B3 * IFERROR(VLOOKUP("electricity|PM25|Infant mortality", US_national_yearly!$D:$AM, 35, FALSE) / VLOOKUP("electricity|PM25|Infant mortality", US_national_yearly!$D:$AM, 10, FALSE), 1)</f>
        <v>4.5556285688527211E-6</v>
      </c>
      <c r="AB3" s="7">
        <f>$B3 * IFERROR(VLOOKUP("electricity|PM25|Infant mortality", US_national_yearly!$D:$AM, 36, FALSE) / VLOOKUP("electricity|PM25|Infant mortality", US_national_yearly!$D:$AM, 10, FALSE), 1)</f>
        <v>4.5269280174542325E-6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1.4216278924152233E-2</v>
      </c>
      <c r="C6" s="7">
        <f>$B6 * IFERROR(VLOOKUP("electricity|PM25|Asthma symptoms cough", US_national_yearly!$D:$AM, 11, FALSE) / VLOOKUP("electricity|PM25|Asthma symptoms cough", US_national_yearly!$D:$AM, 10, FALSE), 1)</f>
        <v>1.4216278924152233E-2</v>
      </c>
      <c r="D6" s="7">
        <f>$B6 * IFERROR(VLOOKUP("electricity|PM25|Asthma symptoms cough", US_national_yearly!$D:$AM, 12, FALSE) / VLOOKUP("electricity|PM25|Asthma symptoms cough", US_national_yearly!$D:$AM, 10, FALSE), 1)</f>
        <v>1.4216278924152233E-2</v>
      </c>
      <c r="E6" s="7">
        <f>$B6 * IFERROR(VLOOKUP("electricity|PM25|Asthma symptoms cough", US_national_yearly!$D:$AM, 13, FALSE) / VLOOKUP("electricity|PM25|Asthma symptoms cough", US_national_yearly!$D:$AM, 10, FALSE), 1)</f>
        <v>1.4216278924152233E-2</v>
      </c>
      <c r="F6" s="7">
        <f>$B6 * IFERROR(VLOOKUP("electricity|PM25|Asthma symptoms cough", US_national_yearly!$D:$AM, 14, FALSE) / VLOOKUP("electricity|PM25|Asthma symptoms cough", US_national_yearly!$D:$AM, 10, FALSE), 1)</f>
        <v>1.4216278924152233E-2</v>
      </c>
      <c r="G6" s="7">
        <f>$B6 * IFERROR(VLOOKUP("electricity|PM25|Asthma symptoms cough", US_national_yearly!$D:$AM, 15, FALSE) / VLOOKUP("electricity|PM25|Asthma symptoms cough", US_national_yearly!$D:$AM, 10, FALSE), 1)</f>
        <v>1.4216278924152233E-2</v>
      </c>
      <c r="H6" s="7">
        <f>$B6 * IFERROR(VLOOKUP("electricity|PM25|Asthma symptoms cough", US_national_yearly!$D:$AM, 16, FALSE) / VLOOKUP("electricity|PM25|Asthma symptoms cough", US_national_yearly!$D:$AM, 10, FALSE), 1)</f>
        <v>1.4216278924152233E-2</v>
      </c>
      <c r="I6" s="7">
        <f>$B6 * IFERROR(VLOOKUP("electricity|PM25|Asthma symptoms cough", US_national_yearly!$D:$AM, 17, FALSE) / VLOOKUP("electricity|PM25|Asthma symptoms cough", US_national_yearly!$D:$AM, 10, FALSE), 1)</f>
        <v>1.4216278924152233E-2</v>
      </c>
      <c r="J6" s="7">
        <f>$B6 * IFERROR(VLOOKUP("electricity|PM25|Asthma symptoms cough", US_national_yearly!$D:$AM, 18, FALSE) / VLOOKUP("electricity|PM25|Asthma symptoms cough", US_national_yearly!$D:$AM, 10, FALSE), 1)</f>
        <v>1.4216278924152233E-2</v>
      </c>
      <c r="K6" s="7">
        <f>$B6 * IFERROR(VLOOKUP("electricity|PM25|Asthma symptoms cough", US_national_yearly!$D:$AM, 19, FALSE) / VLOOKUP("electricity|PM25|Asthma symptoms cough", US_national_yearly!$D:$AM, 10, FALSE), 1)</f>
        <v>1.4216278924152233E-2</v>
      </c>
      <c r="L6" s="7">
        <f>$B6 * IFERROR(VLOOKUP("electricity|PM25|Asthma symptoms cough", US_national_yearly!$D:$AM, 20, FALSE) / VLOOKUP("electricity|PM25|Asthma symptoms cough", US_national_yearly!$D:$AM, 10, FALSE), 1)</f>
        <v>1.4216278924152233E-2</v>
      </c>
      <c r="M6" s="7">
        <f>$B6 * IFERROR(VLOOKUP("electricity|PM25|Asthma symptoms cough", US_national_yearly!$D:$AM, 21, FALSE) / VLOOKUP("electricity|PM25|Asthma symptoms cough", US_national_yearly!$D:$AM, 10, FALSE), 1)</f>
        <v>1.4216278924152233E-2</v>
      </c>
      <c r="N6" s="7">
        <f>$B6 * IFERROR(VLOOKUP("electricity|PM25|Asthma symptoms cough", US_national_yearly!$D:$AM, 22, FALSE) / VLOOKUP("electricity|PM25|Asthma symptoms cough", US_national_yearly!$D:$AM, 10, FALSE), 1)</f>
        <v>1.4216278924152233E-2</v>
      </c>
      <c r="O6" s="7">
        <f>$B6 * IFERROR(VLOOKUP("electricity|PM25|Asthma symptoms cough", US_national_yearly!$D:$AM, 23, FALSE) / VLOOKUP("electricity|PM25|Asthma symptoms cough", US_national_yearly!$D:$AM, 10, FALSE), 1)</f>
        <v>1.4216278924152233E-2</v>
      </c>
      <c r="P6" s="7">
        <f>$B6 * IFERROR(VLOOKUP("electricity|PM25|Asthma symptoms cough", US_national_yearly!$D:$AM, 24, FALSE) / VLOOKUP("electricity|PM25|Asthma symptoms cough", US_national_yearly!$D:$AM, 10, FALSE), 1)</f>
        <v>1.4216278924152233E-2</v>
      </c>
      <c r="Q6" s="7">
        <f>$B6 * IFERROR(VLOOKUP("electricity|PM25|Asthma symptoms cough", US_national_yearly!$D:$AM, 25, FALSE) / VLOOKUP("electricity|PM25|Asthma symptoms cough", US_national_yearly!$D:$AM, 10, FALSE), 1)</f>
        <v>1.4216278924152233E-2</v>
      </c>
      <c r="R6" s="7">
        <f>$B6 * IFERROR(VLOOKUP("electricity|PM25|Asthma symptoms cough", US_national_yearly!$D:$AM, 26, FALSE) / VLOOKUP("electricity|PM25|Asthma symptoms cough", US_national_yearly!$D:$AM, 10, FALSE), 1)</f>
        <v>1.4216278924152233E-2</v>
      </c>
      <c r="S6" s="7">
        <f>$B6 * IFERROR(VLOOKUP("electricity|PM25|Asthma symptoms cough", US_national_yearly!$D:$AM, 27, FALSE) / VLOOKUP("electricity|PM25|Asthma symptoms cough", US_national_yearly!$D:$AM, 10, FALSE), 1)</f>
        <v>1.4216278924152233E-2</v>
      </c>
      <c r="T6" s="7">
        <f>$B6 * IFERROR(VLOOKUP("electricity|PM25|Asthma symptoms cough", US_national_yearly!$D:$AM, 28, FALSE) / VLOOKUP("electricity|PM25|Asthma symptoms cough", US_national_yearly!$D:$AM, 10, FALSE), 1)</f>
        <v>1.4216278924152233E-2</v>
      </c>
      <c r="U6" s="7">
        <f>$B6 * IFERROR(VLOOKUP("electricity|PM25|Asthma symptoms cough", US_national_yearly!$D:$AM, 29, FALSE) / VLOOKUP("electricity|PM25|Asthma symptoms cough", US_national_yearly!$D:$AM, 10, FALSE), 1)</f>
        <v>1.4216278924152233E-2</v>
      </c>
      <c r="V6" s="7">
        <f>$B6 * IFERROR(VLOOKUP("electricity|PM25|Asthma symptoms cough", US_national_yearly!$D:$AM, 30, FALSE) / VLOOKUP("electricity|PM25|Asthma symptoms cough", US_national_yearly!$D:$AM, 10, FALSE), 1)</f>
        <v>1.4216278924152233E-2</v>
      </c>
      <c r="W6" s="7">
        <f>$B6 * IFERROR(VLOOKUP("electricity|PM25|Asthma symptoms cough", US_national_yearly!$D:$AM, 31, FALSE) / VLOOKUP("electricity|PM25|Asthma symptoms cough", US_national_yearly!$D:$AM, 10, FALSE), 1)</f>
        <v>1.4216278924152233E-2</v>
      </c>
      <c r="X6" s="7">
        <f>$B6 * IFERROR(VLOOKUP("electricity|PM25|Asthma symptoms cough", US_national_yearly!$D:$AM, 32, FALSE) / VLOOKUP("electricity|PM25|Asthma symptoms cough", US_national_yearly!$D:$AM, 10, FALSE), 1)</f>
        <v>1.4216278924152233E-2</v>
      </c>
      <c r="Y6" s="7">
        <f>$B6 * IFERROR(VLOOKUP("electricity|PM25|Asthma symptoms cough", US_national_yearly!$D:$AM, 33, FALSE) / VLOOKUP("electricity|PM25|Asthma symptoms cough", US_national_yearly!$D:$AM, 10, FALSE), 1)</f>
        <v>1.4216278924152233E-2</v>
      </c>
      <c r="Z6" s="7">
        <f>$B6 * IFERROR(VLOOKUP("electricity|PM25|Asthma symptoms cough", US_national_yearly!$D:$AM, 34, FALSE) / VLOOKUP("electricity|PM25|Asthma symptoms cough", US_national_yearly!$D:$AM, 10, FALSE), 1)</f>
        <v>1.4216278924152233E-2</v>
      </c>
      <c r="AA6" s="7">
        <f>$B6 * IFERROR(VLOOKUP("electricity|PM25|Asthma symptoms cough", US_national_yearly!$D:$AM, 35, FALSE) / VLOOKUP("electricity|PM25|Asthma symptoms cough", US_national_yearly!$D:$AM, 10, FALSE), 1)</f>
        <v>1.4216278924152233E-2</v>
      </c>
      <c r="AB6" s="7">
        <f>$B6 * IFERROR(VLOOKUP("electricity|PM25|Asthma symptoms cough", US_national_yearly!$D:$AM, 36, FALSE) / VLOOKUP("electricity|PM25|Asthma symptoms cough", US_national_yearly!$D:$AM, 10, FALSE), 1)</f>
        <v>1.4216278924152233E-2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1.9144203662998766E-2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1.9144203662998766E-2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1.9144203662998766E-2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1.9144203662998766E-2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1.9144203662998766E-2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1.9144203662998766E-2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1.9144203662998766E-2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1.9144203662998766E-2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1.9144203662998766E-2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1.9144203662998766E-2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1.9144203662998766E-2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1.9144203662998766E-2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1.9144203662998766E-2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1.9144203662998766E-2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1.9144203662998766E-2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1.9144203662998766E-2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1.9144203662998766E-2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1.9144203662998766E-2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1.9144203662998766E-2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1.9144203662998766E-2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1.9144203662998766E-2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1.9144203662998766E-2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1.9144203662998766E-2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1.9144203662998766E-2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1.9144203662998766E-2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1.9144203662998766E-2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1.9144203662998766E-2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2.9249379619710213E-2</v>
      </c>
      <c r="C8" s="7">
        <f>$B8 * IFERROR(VLOOKUP("electricity|PM25|Asthma symptoms wheeze", US_national_yearly!$D:$AM, 11, FALSE) / VLOOKUP("electricity|PM25|Asthma symptoms wheeze", US_national_yearly!$D:$AM, 10, FALSE), 1)</f>
        <v>2.9249379619710213E-2</v>
      </c>
      <c r="D8" s="7">
        <f>$B8 * IFERROR(VLOOKUP("electricity|PM25|Asthma symptoms wheeze", US_national_yearly!$D:$AM, 12, FALSE) / VLOOKUP("electricity|PM25|Asthma symptoms wheeze", US_national_yearly!$D:$AM, 10, FALSE), 1)</f>
        <v>2.9249379619710213E-2</v>
      </c>
      <c r="E8" s="7">
        <f>$B8 * IFERROR(VLOOKUP("electricity|PM25|Asthma symptoms wheeze", US_national_yearly!$D:$AM, 13, FALSE) / VLOOKUP("electricity|PM25|Asthma symptoms wheeze", US_national_yearly!$D:$AM, 10, FALSE), 1)</f>
        <v>2.9249379619710213E-2</v>
      </c>
      <c r="F8" s="7">
        <f>$B8 * IFERROR(VLOOKUP("electricity|PM25|Asthma symptoms wheeze", US_national_yearly!$D:$AM, 14, FALSE) / VLOOKUP("electricity|PM25|Asthma symptoms wheeze", US_national_yearly!$D:$AM, 10, FALSE), 1)</f>
        <v>2.9249379619710213E-2</v>
      </c>
      <c r="G8" s="7">
        <f>$B8 * IFERROR(VLOOKUP("electricity|PM25|Asthma symptoms wheeze", US_national_yearly!$D:$AM, 15, FALSE) / VLOOKUP("electricity|PM25|Asthma symptoms wheeze", US_national_yearly!$D:$AM, 10, FALSE), 1)</f>
        <v>2.9249379619710213E-2</v>
      </c>
      <c r="H8" s="7">
        <f>$B8 * IFERROR(VLOOKUP("electricity|PM25|Asthma symptoms wheeze", US_national_yearly!$D:$AM, 16, FALSE) / VLOOKUP("electricity|PM25|Asthma symptoms wheeze", US_national_yearly!$D:$AM, 10, FALSE), 1)</f>
        <v>2.9249379619710213E-2</v>
      </c>
      <c r="I8" s="7">
        <f>$B8 * IFERROR(VLOOKUP("electricity|PM25|Asthma symptoms wheeze", US_national_yearly!$D:$AM, 17, FALSE) / VLOOKUP("electricity|PM25|Asthma symptoms wheeze", US_national_yearly!$D:$AM, 10, FALSE), 1)</f>
        <v>2.9249379619710213E-2</v>
      </c>
      <c r="J8" s="7">
        <f>$B8 * IFERROR(VLOOKUP("electricity|PM25|Asthma symptoms wheeze", US_national_yearly!$D:$AM, 18, FALSE) / VLOOKUP("electricity|PM25|Asthma symptoms wheeze", US_national_yearly!$D:$AM, 10, FALSE), 1)</f>
        <v>2.9249379619710213E-2</v>
      </c>
      <c r="K8" s="7">
        <f>$B8 * IFERROR(VLOOKUP("electricity|PM25|Asthma symptoms wheeze", US_national_yearly!$D:$AM, 19, FALSE) / VLOOKUP("electricity|PM25|Asthma symptoms wheeze", US_national_yearly!$D:$AM, 10, FALSE), 1)</f>
        <v>2.9249379619710213E-2</v>
      </c>
      <c r="L8" s="7">
        <f>$B8 * IFERROR(VLOOKUP("electricity|PM25|Asthma symptoms wheeze", US_national_yearly!$D:$AM, 20, FALSE) / VLOOKUP("electricity|PM25|Asthma symptoms wheeze", US_national_yearly!$D:$AM, 10, FALSE), 1)</f>
        <v>2.9249379619710213E-2</v>
      </c>
      <c r="M8" s="7">
        <f>$B8 * IFERROR(VLOOKUP("electricity|PM25|Asthma symptoms wheeze", US_national_yearly!$D:$AM, 21, FALSE) / VLOOKUP("electricity|PM25|Asthma symptoms wheeze", US_national_yearly!$D:$AM, 10, FALSE), 1)</f>
        <v>2.9249379619710213E-2</v>
      </c>
      <c r="N8" s="7">
        <f>$B8 * IFERROR(VLOOKUP("electricity|PM25|Asthma symptoms wheeze", US_national_yearly!$D:$AM, 22, FALSE) / VLOOKUP("electricity|PM25|Asthma symptoms wheeze", US_national_yearly!$D:$AM, 10, FALSE), 1)</f>
        <v>2.9249379619710213E-2</v>
      </c>
      <c r="O8" s="7">
        <f>$B8 * IFERROR(VLOOKUP("electricity|PM25|Asthma symptoms wheeze", US_national_yearly!$D:$AM, 23, FALSE) / VLOOKUP("electricity|PM25|Asthma symptoms wheeze", US_national_yearly!$D:$AM, 10, FALSE), 1)</f>
        <v>2.9249379619710213E-2</v>
      </c>
      <c r="P8" s="7">
        <f>$B8 * IFERROR(VLOOKUP("electricity|PM25|Asthma symptoms wheeze", US_national_yearly!$D:$AM, 24, FALSE) / VLOOKUP("electricity|PM25|Asthma symptoms wheeze", US_national_yearly!$D:$AM, 10, FALSE), 1)</f>
        <v>2.9249379619710213E-2</v>
      </c>
      <c r="Q8" s="7">
        <f>$B8 * IFERROR(VLOOKUP("electricity|PM25|Asthma symptoms wheeze", US_national_yearly!$D:$AM, 25, FALSE) / VLOOKUP("electricity|PM25|Asthma symptoms wheeze", US_national_yearly!$D:$AM, 10, FALSE), 1)</f>
        <v>2.9249379619710213E-2</v>
      </c>
      <c r="R8" s="7">
        <f>$B8 * IFERROR(VLOOKUP("electricity|PM25|Asthma symptoms wheeze", US_national_yearly!$D:$AM, 26, FALSE) / VLOOKUP("electricity|PM25|Asthma symptoms wheeze", US_national_yearly!$D:$AM, 10, FALSE), 1)</f>
        <v>2.9249379619710213E-2</v>
      </c>
      <c r="S8" s="7">
        <f>$B8 * IFERROR(VLOOKUP("electricity|PM25|Asthma symptoms wheeze", US_national_yearly!$D:$AM, 27, FALSE) / VLOOKUP("electricity|PM25|Asthma symptoms wheeze", US_national_yearly!$D:$AM, 10, FALSE), 1)</f>
        <v>2.9249379619710213E-2</v>
      </c>
      <c r="T8" s="7">
        <f>$B8 * IFERROR(VLOOKUP("electricity|PM25|Asthma symptoms wheeze", US_national_yearly!$D:$AM, 28, FALSE) / VLOOKUP("electricity|PM25|Asthma symptoms wheeze", US_national_yearly!$D:$AM, 10, FALSE), 1)</f>
        <v>2.9249379619710213E-2</v>
      </c>
      <c r="U8" s="7">
        <f>$B8 * IFERROR(VLOOKUP("electricity|PM25|Asthma symptoms wheeze", US_national_yearly!$D:$AM, 29, FALSE) / VLOOKUP("electricity|PM25|Asthma symptoms wheeze", US_national_yearly!$D:$AM, 10, FALSE), 1)</f>
        <v>2.9249379619710213E-2</v>
      </c>
      <c r="V8" s="7">
        <f>$B8 * IFERROR(VLOOKUP("electricity|PM25|Asthma symptoms wheeze", US_national_yearly!$D:$AM, 30, FALSE) / VLOOKUP("electricity|PM25|Asthma symptoms wheeze", US_national_yearly!$D:$AM, 10, FALSE), 1)</f>
        <v>2.9249379619710213E-2</v>
      </c>
      <c r="W8" s="7">
        <f>$B8 * IFERROR(VLOOKUP("electricity|PM25|Asthma symptoms wheeze", US_national_yearly!$D:$AM, 31, FALSE) / VLOOKUP("electricity|PM25|Asthma symptoms wheeze", US_national_yearly!$D:$AM, 10, FALSE), 1)</f>
        <v>2.9249379619710213E-2</v>
      </c>
      <c r="X8" s="7">
        <f>$B8 * IFERROR(VLOOKUP("electricity|PM25|Asthma symptoms wheeze", US_national_yearly!$D:$AM, 32, FALSE) / VLOOKUP("electricity|PM25|Asthma symptoms wheeze", US_national_yearly!$D:$AM, 10, FALSE), 1)</f>
        <v>2.9249379619710213E-2</v>
      </c>
      <c r="Y8" s="7">
        <f>$B8 * IFERROR(VLOOKUP("electricity|PM25|Asthma symptoms wheeze", US_national_yearly!$D:$AM, 33, FALSE) / VLOOKUP("electricity|PM25|Asthma symptoms wheeze", US_national_yearly!$D:$AM, 10, FALSE), 1)</f>
        <v>2.9249379619710213E-2</v>
      </c>
      <c r="Z8" s="7">
        <f>$B8 * IFERROR(VLOOKUP("electricity|PM25|Asthma symptoms wheeze", US_national_yearly!$D:$AM, 34, FALSE) / VLOOKUP("electricity|PM25|Asthma symptoms wheeze", US_national_yearly!$D:$AM, 10, FALSE), 1)</f>
        <v>2.9249379619710213E-2</v>
      </c>
      <c r="AA8" s="7">
        <f>$B8 * IFERROR(VLOOKUP("electricity|PM25|Asthma symptoms wheeze", US_national_yearly!$D:$AM, 35, FALSE) / VLOOKUP("electricity|PM25|Asthma symptoms wheeze", US_national_yearly!$D:$AM, 10, FALSE), 1)</f>
        <v>2.9249379619710213E-2</v>
      </c>
      <c r="AB8" s="7">
        <f>$B8 * IFERROR(VLOOKUP("electricity|PM25|Asthma symptoms wheeze", US_national_yearly!$D:$AM, 36, FALSE) / VLOOKUP("electricity|PM25|Asthma symptoms wheeze", US_national_yearly!$D:$AM, 10, FALSE), 1)</f>
        <v>2.9249379619710213E-2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3.7005209802014474E-4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3.7208585930014859E-4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3.7411962058015238E-4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3.7615338186015634E-4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3.7818714314016014E-4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3.803672852410073E-4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3.8254742734185451E-4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3.8449516158799732E-4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3.8644289583414002E-4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3.8839063008028272E-4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3.9033836432642542E-4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3.9228609857256818E-4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3.9359991448432926E-4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3.9491373039609033E-4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3.9622754630785147E-4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3.9754136221961249E-4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3.9885517813137363E-4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4.0007947082155607E-4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4.0130376351173836E-4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4.025280562019207E-4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4.0375234889210309E-4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4.0497664158228538E-4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4.0618723390408422E-4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4.07397826225883E-4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4.0860841854768173E-4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4.0981901086948051E-4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4.1102960319127935E-4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2.3701400065540318E-3</v>
      </c>
      <c r="C13" s="7">
        <f>$B13 * IFERROR(VLOOKUP("electricity|PM25|Non-fatal heart attacks", US_national_yearly!$D:$AM, 11, FALSE) / VLOOKUP("electricity|PM25|Non-fatal heart attacks", US_national_yearly!$D:$AM, 10, FALSE), 1)</f>
        <v>2.438790689538093E-3</v>
      </c>
      <c r="D13" s="7">
        <f>$B13 * IFERROR(VLOOKUP("electricity|PM25|Non-fatal heart attacks", US_national_yearly!$D:$AM, 12, FALSE) / VLOOKUP("electricity|PM25|Non-fatal heart attacks", US_national_yearly!$D:$AM, 10, FALSE), 1)</f>
        <v>2.5074413725221546E-3</v>
      </c>
      <c r="E13" s="7">
        <f>$B13 * IFERROR(VLOOKUP("electricity|PM25|Non-fatal heart attacks", US_national_yearly!$D:$AM, 13, FALSE) / VLOOKUP("electricity|PM25|Non-fatal heart attacks", US_national_yearly!$D:$AM, 10, FALSE), 1)</f>
        <v>2.5760920555062154E-3</v>
      </c>
      <c r="F13" s="7">
        <f>$B13 * IFERROR(VLOOKUP("electricity|PM25|Non-fatal heart attacks", US_national_yearly!$D:$AM, 14, FALSE) / VLOOKUP("electricity|PM25|Non-fatal heart attacks", US_national_yearly!$D:$AM, 10, FALSE), 1)</f>
        <v>2.6447427384902766E-3</v>
      </c>
      <c r="G13" s="7">
        <f>$B13 * IFERROR(VLOOKUP("electricity|PM25|Non-fatal heart attacks", US_national_yearly!$D:$AM, 15, FALSE) / VLOOKUP("electricity|PM25|Non-fatal heart attacks", US_national_yearly!$D:$AM, 10, FALSE), 1)</f>
        <v>2.7099037010196495E-3</v>
      </c>
      <c r="H13" s="7">
        <f>$B13 * IFERROR(VLOOKUP("electricity|PM25|Non-fatal heart attacks", US_national_yearly!$D:$AM, 16, FALSE) / VLOOKUP("electricity|PM25|Non-fatal heart attacks", US_national_yearly!$D:$AM, 10, FALSE), 1)</f>
        <v>2.7750646635490215E-3</v>
      </c>
      <c r="I13" s="7">
        <f>$B13 * IFERROR(VLOOKUP("electricity|PM25|Non-fatal heart attacks", US_national_yearly!$D:$AM, 17, FALSE) / VLOOKUP("electricity|PM25|Non-fatal heart attacks", US_national_yearly!$D:$AM, 10, FALSE), 1)</f>
        <v>2.8282283163570472E-3</v>
      </c>
      <c r="J13" s="7">
        <f>$B13 * IFERROR(VLOOKUP("electricity|PM25|Non-fatal heart attacks", US_national_yearly!$D:$AM, 18, FALSE) / VLOOKUP("electricity|PM25|Non-fatal heart attacks", US_national_yearly!$D:$AM, 10, FALSE), 1)</f>
        <v>2.8813919691650725E-3</v>
      </c>
      <c r="K13" s="7">
        <f>$B13 * IFERROR(VLOOKUP("electricity|PM25|Non-fatal heart attacks", US_national_yearly!$D:$AM, 19, FALSE) / VLOOKUP("electricity|PM25|Non-fatal heart attacks", US_national_yearly!$D:$AM, 10, FALSE), 1)</f>
        <v>2.9345556219730977E-3</v>
      </c>
      <c r="L13" s="7">
        <f>$B13 * IFERROR(VLOOKUP("electricity|PM25|Non-fatal heart attacks", US_national_yearly!$D:$AM, 20, FALSE) / VLOOKUP("electricity|PM25|Non-fatal heart attacks", US_national_yearly!$D:$AM, 10, FALSE), 1)</f>
        <v>2.9877192747811226E-3</v>
      </c>
      <c r="M13" s="7">
        <f>$B13 * IFERROR(VLOOKUP("electricity|PM25|Non-fatal heart attacks", US_national_yearly!$D:$AM, 21, FALSE) / VLOOKUP("electricity|PM25|Non-fatal heart attacks", US_national_yearly!$D:$AM, 10, FALSE), 1)</f>
        <v>3.0408829275891487E-3</v>
      </c>
      <c r="N13" s="7">
        <f>$B13 * IFERROR(VLOOKUP("electricity|PM25|Non-fatal heart attacks", US_national_yearly!$D:$AM, 22, FALSE) / VLOOKUP("electricity|PM25|Non-fatal heart attacks", US_national_yearly!$D:$AM, 10, FALSE), 1)</f>
        <v>3.0753792752149598E-3</v>
      </c>
      <c r="O13" s="7">
        <f>$B13 * IFERROR(VLOOKUP("electricity|PM25|Non-fatal heart attacks", US_national_yearly!$D:$AM, 23, FALSE) / VLOOKUP("electricity|PM25|Non-fatal heart attacks", US_national_yearly!$D:$AM, 10, FALSE), 1)</f>
        <v>3.1098756228407714E-3</v>
      </c>
      <c r="P13" s="7">
        <f>$B13 * IFERROR(VLOOKUP("electricity|PM25|Non-fatal heart attacks", US_national_yearly!$D:$AM, 24, FALSE) / VLOOKUP("electricity|PM25|Non-fatal heart attacks", US_national_yearly!$D:$AM, 10, FALSE), 1)</f>
        <v>3.1443719704665821E-3</v>
      </c>
      <c r="Q13" s="7">
        <f>$B13 * IFERROR(VLOOKUP("electricity|PM25|Non-fatal heart attacks", US_national_yearly!$D:$AM, 25, FALSE) / VLOOKUP("electricity|PM25|Non-fatal heart attacks", US_national_yearly!$D:$AM, 10, FALSE), 1)</f>
        <v>3.1788683180923936E-3</v>
      </c>
      <c r="R13" s="7">
        <f>$B13 * IFERROR(VLOOKUP("electricity|PM25|Non-fatal heart attacks", US_national_yearly!$D:$AM, 26, FALSE) / VLOOKUP("electricity|PM25|Non-fatal heart attacks", US_national_yearly!$D:$AM, 10, FALSE), 1)</f>
        <v>3.2133646657182048E-3</v>
      </c>
      <c r="S13" s="7">
        <f>$B13 * IFERROR(VLOOKUP("electricity|PM25|Non-fatal heart attacks", US_national_yearly!$D:$AM, 27, FALSE) / VLOOKUP("electricity|PM25|Non-fatal heart attacks", US_national_yearly!$D:$AM, 10, FALSE), 1)</f>
        <v>3.2323557913043121E-3</v>
      </c>
      <c r="T13" s="7">
        <f>$B13 * IFERROR(VLOOKUP("electricity|PM25|Non-fatal heart attacks", US_national_yearly!$D:$AM, 28, FALSE) / VLOOKUP("electricity|PM25|Non-fatal heart attacks", US_national_yearly!$D:$AM, 10, FALSE), 1)</f>
        <v>3.2513469168904204E-3</v>
      </c>
      <c r="U13" s="7">
        <f>$B13 * IFERROR(VLOOKUP("electricity|PM25|Non-fatal heart attacks", US_national_yearly!$D:$AM, 29, FALSE) / VLOOKUP("electricity|PM25|Non-fatal heart attacks", US_national_yearly!$D:$AM, 10, FALSE), 1)</f>
        <v>3.2703380424765277E-3</v>
      </c>
      <c r="V13" s="7">
        <f>$B13 * IFERROR(VLOOKUP("electricity|PM25|Non-fatal heart attacks", US_national_yearly!$D:$AM, 30, FALSE) / VLOOKUP("electricity|PM25|Non-fatal heart attacks", US_national_yearly!$D:$AM, 10, FALSE), 1)</f>
        <v>3.2893291680626351E-3</v>
      </c>
      <c r="W13" s="7">
        <f>$B13 * IFERROR(VLOOKUP("electricity|PM25|Non-fatal heart attacks", US_national_yearly!$D:$AM, 31, FALSE) / VLOOKUP("electricity|PM25|Non-fatal heart attacks", US_national_yearly!$D:$AM, 10, FALSE), 1)</f>
        <v>3.3083202936487434E-3</v>
      </c>
      <c r="X13" s="7">
        <f>$B13 * IFERROR(VLOOKUP("electricity|PM25|Non-fatal heart attacks", US_national_yearly!$D:$AM, 32, FALSE) / VLOOKUP("electricity|PM25|Non-fatal heart attacks", US_national_yearly!$D:$AM, 10, FALSE), 1)</f>
        <v>3.3231773509806179E-3</v>
      </c>
      <c r="Y13" s="7">
        <f>$B13 * IFERROR(VLOOKUP("electricity|PM25|Non-fatal heart attacks", US_national_yearly!$D:$AM, 33, FALSE) / VLOOKUP("electricity|PM25|Non-fatal heart attacks", US_national_yearly!$D:$AM, 10, FALSE), 1)</f>
        <v>3.3380344083124929E-3</v>
      </c>
      <c r="Z13" s="7">
        <f>$B13 * IFERROR(VLOOKUP("electricity|PM25|Non-fatal heart attacks", US_national_yearly!$D:$AM, 34, FALSE) / VLOOKUP("electricity|PM25|Non-fatal heart attacks", US_national_yearly!$D:$AM, 10, FALSE), 1)</f>
        <v>3.3528914656443675E-3</v>
      </c>
      <c r="AA13" s="7">
        <f>$B13 * IFERROR(VLOOKUP("electricity|PM25|Non-fatal heart attacks", US_national_yearly!$D:$AM, 35, FALSE) / VLOOKUP("electricity|PM25|Non-fatal heart attacks", US_national_yearly!$D:$AM, 10, FALSE), 1)</f>
        <v>3.3677485229762429E-3</v>
      </c>
      <c r="AB13" s="7">
        <f>$B13 * IFERROR(VLOOKUP("electricity|PM25|Non-fatal heart attacks", US_national_yearly!$D:$AM, 36, FALSE) / VLOOKUP("electricity|PM25|Non-fatal heart attacks", US_national_yearly!$D:$AM, 10, FALSE), 1)</f>
        <v>3.3826055803081174E-3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1.7726310688485858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1.7765661906694179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1.7805013124902505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1.7844364343110826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1.7883715561319151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1.7942108209363303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1.8000500857407455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1.8103606373363206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1.8206711889318961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1.8309817405274713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1.8412922921230468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1.8516028437186218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1.8659065523852094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1.8802102610517974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1.8945139697183855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1.9088176783849735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1.9231213870515611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1.9375484724582388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1.9519755578649158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1.9664026432715929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1.9808297286782703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1.9952568140849476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2.0076238376442501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2.0199908612035533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2.0323578847628565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2.0447249083221588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2.0570919318814624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0.29909508152519748</v>
      </c>
      <c r="C15" s="7">
        <f>$B15 * IFERROR(VLOOKUP("electricity|PM25|Work loss days", US_national_yearly!$D:$AM, 11, FALSE) / VLOOKUP("electricity|PM25|Work loss days", US_national_yearly!$D:$AM, 10, FALSE), 1)</f>
        <v>0.29995095939013666</v>
      </c>
      <c r="D15" s="7">
        <f>$B15 * IFERROR(VLOOKUP("electricity|PM25|Work loss days", US_national_yearly!$D:$AM, 12, FALSE) / VLOOKUP("electricity|PM25|Work loss days", US_national_yearly!$D:$AM, 10, FALSE), 1)</f>
        <v>0.30080683725507595</v>
      </c>
      <c r="E15" s="7">
        <f>$B15 * IFERROR(VLOOKUP("electricity|PM25|Work loss days", US_national_yearly!$D:$AM, 13, FALSE) / VLOOKUP("electricity|PM25|Work loss days", US_national_yearly!$D:$AM, 10, FALSE), 1)</f>
        <v>0.30166271512001513</v>
      </c>
      <c r="F15" s="7">
        <f>$B15 * IFERROR(VLOOKUP("electricity|PM25|Work loss days", US_national_yearly!$D:$AM, 14, FALSE) / VLOOKUP("electricity|PM25|Work loss days", US_national_yearly!$D:$AM, 10, FALSE), 1)</f>
        <v>0.30251859298495437</v>
      </c>
      <c r="G15" s="7">
        <f>$B15 * IFERROR(VLOOKUP("electricity|PM25|Work loss days", US_national_yearly!$D:$AM, 15, FALSE) / VLOOKUP("electricity|PM25|Work loss days", US_national_yearly!$D:$AM, 10, FALSE), 1)</f>
        <v>0.30362733882262471</v>
      </c>
      <c r="H15" s="7">
        <f>$B15 * IFERROR(VLOOKUP("electricity|PM25|Work loss days", US_national_yearly!$D:$AM, 16, FALSE) / VLOOKUP("electricity|PM25|Work loss days", US_national_yearly!$D:$AM, 10, FALSE), 1)</f>
        <v>0.30473608466029517</v>
      </c>
      <c r="I15" s="7">
        <f>$B15 * IFERROR(VLOOKUP("electricity|PM25|Work loss days", US_national_yearly!$D:$AM, 17, FALSE) / VLOOKUP("electricity|PM25|Work loss days", US_national_yearly!$D:$AM, 10, FALSE), 1)</f>
        <v>0.3064028946987658</v>
      </c>
      <c r="J15" s="7">
        <f>$B15 * IFERROR(VLOOKUP("electricity|PM25|Work loss days", US_national_yearly!$D:$AM, 18, FALSE) / VLOOKUP("electricity|PM25|Work loss days", US_national_yearly!$D:$AM, 10, FALSE), 1)</f>
        <v>0.30806970473723633</v>
      </c>
      <c r="K15" s="7">
        <f>$B15 * IFERROR(VLOOKUP("electricity|PM25|Work loss days", US_national_yearly!$D:$AM, 19, FALSE) / VLOOKUP("electricity|PM25|Work loss days", US_national_yearly!$D:$AM, 10, FALSE), 1)</f>
        <v>0.30973651477570696</v>
      </c>
      <c r="L15" s="7">
        <f>$B15 * IFERROR(VLOOKUP("electricity|PM25|Work loss days", US_national_yearly!$D:$AM, 20, FALSE) / VLOOKUP("electricity|PM25|Work loss days", US_national_yearly!$D:$AM, 10, FALSE), 1)</f>
        <v>0.3114033248141776</v>
      </c>
      <c r="M15" s="7">
        <f>$B15 * IFERROR(VLOOKUP("electricity|PM25|Work loss days", US_national_yearly!$D:$AM, 21, FALSE) / VLOOKUP("electricity|PM25|Work loss days", US_national_yearly!$D:$AM, 10, FALSE), 1)</f>
        <v>0.31307013485264823</v>
      </c>
      <c r="N15" s="7">
        <f>$B15 * IFERROR(VLOOKUP("electricity|PM25|Work loss days", US_national_yearly!$D:$AM, 22, FALSE) / VLOOKUP("electricity|PM25|Work loss days", US_national_yearly!$D:$AM, 10, FALSE), 1)</f>
        <v>0.31522210232639336</v>
      </c>
      <c r="O15" s="7">
        <f>$B15 * IFERROR(VLOOKUP("electricity|PM25|Work loss days", US_national_yearly!$D:$AM, 23, FALSE) / VLOOKUP("electricity|PM25|Work loss days", US_national_yearly!$D:$AM, 10, FALSE), 1)</f>
        <v>0.31737406980013844</v>
      </c>
      <c r="P15" s="7">
        <f>$B15 * IFERROR(VLOOKUP("electricity|PM25|Work loss days", US_national_yearly!$D:$AM, 24, FALSE) / VLOOKUP("electricity|PM25|Work loss days", US_national_yearly!$D:$AM, 10, FALSE), 1)</f>
        <v>0.31952603727388346</v>
      </c>
      <c r="Q15" s="7">
        <f>$B15 * IFERROR(VLOOKUP("electricity|PM25|Work loss days", US_national_yearly!$D:$AM, 25, FALSE) / VLOOKUP("electricity|PM25|Work loss days", US_national_yearly!$D:$AM, 10, FALSE), 1)</f>
        <v>0.32167800474762848</v>
      </c>
      <c r="R15" s="7">
        <f>$B15 * IFERROR(VLOOKUP("electricity|PM25|Work loss days", US_national_yearly!$D:$AM, 26, FALSE) / VLOOKUP("electricity|PM25|Work loss days", US_national_yearly!$D:$AM, 10, FALSE), 1)</f>
        <v>0.32382997222137361</v>
      </c>
      <c r="S15" s="7">
        <f>$B15 * IFERROR(VLOOKUP("electricity|PM25|Work loss days", US_national_yearly!$D:$AM, 27, FALSE) / VLOOKUP("electricity|PM25|Work loss days", US_national_yearly!$D:$AM, 10, FALSE), 1)</f>
        <v>0.32621789622514125</v>
      </c>
      <c r="T15" s="7">
        <f>$B15 * IFERROR(VLOOKUP("electricity|PM25|Work loss days", US_national_yearly!$D:$AM, 28, FALSE) / VLOOKUP("electricity|PM25|Work loss days", US_national_yearly!$D:$AM, 10, FALSE), 1)</f>
        <v>0.32860582022890894</v>
      </c>
      <c r="U15" s="7">
        <f>$B15 * IFERROR(VLOOKUP("electricity|PM25|Work loss days", US_national_yearly!$D:$AM, 29, FALSE) / VLOOKUP("electricity|PM25|Work loss days", US_national_yearly!$D:$AM, 10, FALSE), 1)</f>
        <v>0.33099374423267669</v>
      </c>
      <c r="V15" s="7">
        <f>$B15 * IFERROR(VLOOKUP("electricity|PM25|Work loss days", US_national_yearly!$D:$AM, 30, FALSE) / VLOOKUP("electricity|PM25|Work loss days", US_national_yearly!$D:$AM, 10, FALSE), 1)</f>
        <v>0.33338166823644438</v>
      </c>
      <c r="W15" s="7">
        <f>$B15 * IFERROR(VLOOKUP("electricity|PM25|Work loss days", US_national_yearly!$D:$AM, 31, FALSE) / VLOOKUP("electricity|PM25|Work loss days", US_national_yearly!$D:$AM, 10, FALSE), 1)</f>
        <v>0.33576959224021208</v>
      </c>
      <c r="X15" s="7">
        <f>$B15 * IFERROR(VLOOKUP("electricity|PM25|Work loss days", US_national_yearly!$D:$AM, 32, FALSE) / VLOOKUP("electricity|PM25|Work loss days", US_national_yearly!$D:$AM, 10, FALSE), 1)</f>
        <v>0.33787613303518871</v>
      </c>
      <c r="Y15" s="7">
        <f>$B15 * IFERROR(VLOOKUP("electricity|PM25|Work loss days", US_national_yearly!$D:$AM, 33, FALSE) / VLOOKUP("electricity|PM25|Work loss days", US_national_yearly!$D:$AM, 10, FALSE), 1)</f>
        <v>0.33998267383016523</v>
      </c>
      <c r="Z15" s="7">
        <f>$B15 * IFERROR(VLOOKUP("electricity|PM25|Work loss days", US_national_yearly!$D:$AM, 34, FALSE) / VLOOKUP("electricity|PM25|Work loss days", US_national_yearly!$D:$AM, 10, FALSE), 1)</f>
        <v>0.3420892146251418</v>
      </c>
      <c r="AA15" s="7">
        <f>$B15 * IFERROR(VLOOKUP("electricity|PM25|Work loss days", US_national_yearly!$D:$AM, 35, FALSE) / VLOOKUP("electricity|PM25|Work loss days", US_national_yearly!$D:$AM, 10, FALSE), 1)</f>
        <v>0.34419575542011849</v>
      </c>
      <c r="AB15" s="7">
        <f>$B15 * IFERROR(VLOOKUP("electricity|PM25|Work loss days", US_national_yearly!$D:$AM, 36, FALSE) / VLOOKUP("electricity|PM25|Work loss days", US_national_yearly!$D:$AM, 10, FALSE), 1)</f>
        <v>0.34630229621509506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6.434717128494424E-4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6.6256667747910804E-4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6.8166164210877367E-4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7.007566067384393E-4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7.1985157136810493E-4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7.3826863512963881E-4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7.5668569889117258E-4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7.7264002323470398E-4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7.8859434757823539E-4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8.0454867192176669E-4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8.205029962652981E-4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8.3645732060882939E-4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8.4718218311672679E-4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8.5790704562462396E-4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8.6863190813252114E-4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8.7935677064041842E-4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8.900816331483156E-4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8.9600069908215608E-4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9.0191976501599635E-4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9.0783883094983683E-4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9.1375789688367709E-4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9.1967696281751747E-4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9.2380642376242782E-4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9.2793588470733805E-4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9.320653456522484E-4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9.3619480659715886E-4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9.4032426754206931E-4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3.7747544145723226E-4</v>
      </c>
      <c r="C2" s="7">
        <f>$B2 * IFERROR(VLOOKUP("electricity|NOx|Premature mortality", US_national_yearly!$D:$AM, 11, FALSE) / VLOOKUP("electricity|NOx|Premature mortality", US_national_yearly!$D:$AM, 10, FALSE), 1)</f>
        <v>3.8318688409549911E-4</v>
      </c>
      <c r="D2" s="7">
        <f>$B2 * IFERROR(VLOOKUP("electricity|NOx|Premature mortality", US_national_yearly!$D:$AM, 12, FALSE) / VLOOKUP("electricity|NOx|Premature mortality", US_national_yearly!$D:$AM, 10, FALSE), 1)</f>
        <v>3.8889832673376612E-4</v>
      </c>
      <c r="E2" s="7">
        <f>$B2 * IFERROR(VLOOKUP("electricity|NOx|Premature mortality", US_national_yearly!$D:$AM, 13, FALSE) / VLOOKUP("electricity|NOx|Premature mortality", US_national_yearly!$D:$AM, 10, FALSE), 1)</f>
        <v>3.9460976937203296E-4</v>
      </c>
      <c r="F2" s="7">
        <f>$B2 * IFERROR(VLOOKUP("electricity|NOx|Premature mortality", US_national_yearly!$D:$AM, 14, FALSE) / VLOOKUP("electricity|NOx|Premature mortality", US_national_yearly!$D:$AM, 10, FALSE), 1)</f>
        <v>4.0032121201029981E-4</v>
      </c>
      <c r="G2" s="7">
        <f>$B2 * IFERROR(VLOOKUP("electricity|NOx|Premature mortality", US_national_yearly!$D:$AM, 15, FALSE) / VLOOKUP("electricity|NOx|Premature mortality", US_national_yearly!$D:$AM, 10, FALSE), 1)</f>
        <v>4.1052395203765719E-4</v>
      </c>
      <c r="H2" s="7">
        <f>$B2 * IFERROR(VLOOKUP("electricity|NOx|Premature mortality", US_national_yearly!$D:$AM, 16, FALSE) / VLOOKUP("electricity|NOx|Premature mortality", US_national_yearly!$D:$AM, 10, FALSE), 1)</f>
        <v>4.2072669206501452E-4</v>
      </c>
      <c r="I2" s="7">
        <f>$B2 * IFERROR(VLOOKUP("electricity|NOx|Premature mortality", US_national_yearly!$D:$AM, 17, FALSE) / VLOOKUP("electricity|NOx|Premature mortality", US_national_yearly!$D:$AM, 10, FALSE), 1)</f>
        <v>4.2750683188872422E-4</v>
      </c>
      <c r="J2" s="7">
        <f>$B2 * IFERROR(VLOOKUP("electricity|NOx|Premature mortality", US_national_yearly!$D:$AM, 18, FALSE) / VLOOKUP("electricity|NOx|Premature mortality", US_national_yearly!$D:$AM, 10, FALSE), 1)</f>
        <v>4.3428697171243402E-4</v>
      </c>
      <c r="K2" s="7">
        <f>$B2 * IFERROR(VLOOKUP("electricity|NOx|Premature mortality", US_national_yearly!$D:$AM, 19, FALSE) / VLOOKUP("electricity|NOx|Premature mortality", US_national_yearly!$D:$AM, 10, FALSE), 1)</f>
        <v>4.4106711153614378E-4</v>
      </c>
      <c r="L2" s="7">
        <f>$B2 * IFERROR(VLOOKUP("electricity|NOx|Premature mortality", US_national_yearly!$D:$AM, 20, FALSE) / VLOOKUP("electricity|NOx|Premature mortality", US_national_yearly!$D:$AM, 10, FALSE), 1)</f>
        <v>4.4784725135985347E-4</v>
      </c>
      <c r="M2" s="7">
        <f>$B2 * IFERROR(VLOOKUP("electricity|NOx|Premature mortality", US_national_yearly!$D:$AM, 21, FALSE) / VLOOKUP("electricity|NOx|Premature mortality", US_national_yearly!$D:$AM, 10, FALSE), 1)</f>
        <v>4.5462739118356323E-4</v>
      </c>
      <c r="N2" s="7">
        <f>$B2 * IFERROR(VLOOKUP("electricity|NOx|Premature mortality", US_national_yearly!$D:$AM, 22, FALSE) / VLOOKUP("electricity|NOx|Premature mortality", US_national_yearly!$D:$AM, 10, FALSE), 1)</f>
        <v>4.5985905287484628E-4</v>
      </c>
      <c r="O2" s="7">
        <f>$B2 * IFERROR(VLOOKUP("electricity|NOx|Premature mortality", US_national_yearly!$D:$AM, 23, FALSE) / VLOOKUP("electricity|NOx|Premature mortality", US_national_yearly!$D:$AM, 10, FALSE), 1)</f>
        <v>4.6509071456612955E-4</v>
      </c>
      <c r="P2" s="7">
        <f>$B2 * IFERROR(VLOOKUP("electricity|NOx|Premature mortality", US_national_yearly!$D:$AM, 24, FALSE) / VLOOKUP("electricity|NOx|Premature mortality", US_national_yearly!$D:$AM, 10, FALSE), 1)</f>
        <v>4.7032237625741266E-4</v>
      </c>
      <c r="Q2" s="7">
        <f>$B2 * IFERROR(VLOOKUP("electricity|NOx|Premature mortality", US_national_yearly!$D:$AM, 25, FALSE) / VLOOKUP("electricity|NOx|Premature mortality", US_national_yearly!$D:$AM, 10, FALSE), 1)</f>
        <v>4.7555403794869583E-4</v>
      </c>
      <c r="R2" s="7">
        <f>$B2 * IFERROR(VLOOKUP("electricity|NOx|Premature mortality", US_national_yearly!$D:$AM, 26, FALSE) / VLOOKUP("electricity|NOx|Premature mortality", US_national_yearly!$D:$AM, 10, FALSE), 1)</f>
        <v>4.8078569963997888E-4</v>
      </c>
      <c r="S2" s="7">
        <f>$B2 * IFERROR(VLOOKUP("electricity|NOx|Premature mortality", US_national_yearly!$D:$AM, 27, FALSE) / VLOOKUP("electricity|NOx|Premature mortality", US_national_yearly!$D:$AM, 10, FALSE), 1)</f>
        <v>4.8348911828923006E-4</v>
      </c>
      <c r="T2" s="7">
        <f>$B2 * IFERROR(VLOOKUP("electricity|NOx|Premature mortality", US_national_yearly!$D:$AM, 28, FALSE) / VLOOKUP("electricity|NOx|Premature mortality", US_national_yearly!$D:$AM, 10, FALSE), 1)</f>
        <v>4.8619253693848118E-4</v>
      </c>
      <c r="U2" s="7">
        <f>$B2 * IFERROR(VLOOKUP("electricity|NOx|Premature mortality", US_national_yearly!$D:$AM, 29, FALSE) / VLOOKUP("electricity|NOx|Premature mortality", US_national_yearly!$D:$AM, 10, FALSE), 1)</f>
        <v>4.8889595558773257E-4</v>
      </c>
      <c r="V2" s="7">
        <f>$B2 * IFERROR(VLOOKUP("electricity|NOx|Premature mortality", US_national_yearly!$D:$AM, 30, FALSE) / VLOOKUP("electricity|NOx|Premature mortality", US_national_yearly!$D:$AM, 10, FALSE), 1)</f>
        <v>4.9159937423698364E-4</v>
      </c>
      <c r="W2" s="7">
        <f>$B2 * IFERROR(VLOOKUP("electricity|NOx|Premature mortality", US_national_yearly!$D:$AM, 31, FALSE) / VLOOKUP("electricity|NOx|Premature mortality", US_national_yearly!$D:$AM, 10, FALSE), 1)</f>
        <v>4.9430279288623482E-4</v>
      </c>
      <c r="X2" s="7">
        <f>$B2 * IFERROR(VLOOKUP("electricity|NOx|Premature mortality", US_national_yearly!$D:$AM, 32, FALSE) / VLOOKUP("electricity|NOx|Premature mortality", US_national_yearly!$D:$AM, 10, FALSE), 1)</f>
        <v>4.9491439016979616E-4</v>
      </c>
      <c r="Y2" s="7">
        <f>$B2 * IFERROR(VLOOKUP("electricity|NOx|Premature mortality", US_national_yearly!$D:$AM, 33, FALSE) / VLOOKUP("electricity|NOx|Premature mortality", US_national_yearly!$D:$AM, 10, FALSE), 1)</f>
        <v>4.9552598745335739E-4</v>
      </c>
      <c r="Z2" s="7">
        <f>$B2 * IFERROR(VLOOKUP("electricity|NOx|Premature mortality", US_national_yearly!$D:$AM, 34, FALSE) / VLOOKUP("electricity|NOx|Premature mortality", US_national_yearly!$D:$AM, 10, FALSE), 1)</f>
        <v>4.9613758473691873E-4</v>
      </c>
      <c r="AA2" s="7">
        <f>$B2 * IFERROR(VLOOKUP("electricity|NOx|Premature mortality", US_national_yearly!$D:$AM, 35, FALSE) / VLOOKUP("electricity|NOx|Premature mortality", US_national_yearly!$D:$AM, 10, FALSE), 1)</f>
        <v>4.9674918202047985E-4</v>
      </c>
      <c r="AB2" s="7">
        <f>$B2 * IFERROR(VLOOKUP("electricity|NOx|Premature mortality", US_national_yearly!$D:$AM, 36, FALSE) / VLOOKUP("electricity|NOx|Premature mortality", US_national_yearly!$D:$AM, 10, FALSE), 1)</f>
        <v>4.9736077930404119E-4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9.7980542434306603E-7</v>
      </c>
      <c r="C3" s="7">
        <f>$B3 * IFERROR(VLOOKUP("electricity|NOx|Infant mortality", US_national_yearly!$D:$AM, 11, FALSE) / VLOOKUP("electricity|NOx|Infant mortality", US_national_yearly!$D:$AM, 10, FALSE), 1)</f>
        <v>9.7063878478503347E-7</v>
      </c>
      <c r="D3" s="7">
        <f>$B3 * IFERROR(VLOOKUP("electricity|NOx|Infant mortality", US_national_yearly!$D:$AM, 12, FALSE) / VLOOKUP("electricity|NOx|Infant mortality", US_national_yearly!$D:$AM, 10, FALSE), 1)</f>
        <v>9.6147214522700069E-7</v>
      </c>
      <c r="E3" s="7">
        <f>$B3 * IFERROR(VLOOKUP("electricity|NOx|Infant mortality", US_national_yearly!$D:$AM, 13, FALSE) / VLOOKUP("electricity|NOx|Infant mortality", US_national_yearly!$D:$AM, 10, FALSE), 1)</f>
        <v>9.5230550566896823E-7</v>
      </c>
      <c r="F3" s="7">
        <f>$B3 * IFERROR(VLOOKUP("electricity|NOx|Infant mortality", US_national_yearly!$D:$AM, 14, FALSE) / VLOOKUP("electricity|NOx|Infant mortality", US_national_yearly!$D:$AM, 10, FALSE), 1)</f>
        <v>9.4313886611093546E-7</v>
      </c>
      <c r="G3" s="7">
        <f>$B3 * IFERROR(VLOOKUP("electricity|NOx|Infant mortality", US_national_yearly!$D:$AM, 15, FALSE) / VLOOKUP("electricity|NOx|Infant mortality", US_national_yearly!$D:$AM, 10, FALSE), 1)</f>
        <v>6.2487622530702063E-7</v>
      </c>
      <c r="H3" s="7">
        <f>$B3 * IFERROR(VLOOKUP("electricity|NOx|Infant mortality", US_national_yearly!$D:$AM, 16, FALSE) / VLOOKUP("electricity|NOx|Infant mortality", US_national_yearly!$D:$AM, 10, FALSE), 1)</f>
        <v>3.0661358450310591E-7</v>
      </c>
      <c r="I3" s="7">
        <f>$B3 * IFERROR(VLOOKUP("electricity|NOx|Infant mortality", US_national_yearly!$D:$AM, 17, FALSE) / VLOOKUP("electricity|NOx|Infant mortality", US_national_yearly!$D:$AM, 10, FALSE), 1)</f>
        <v>3.0438372296509518E-7</v>
      </c>
      <c r="J3" s="7">
        <f>$B3 * IFERROR(VLOOKUP("electricity|NOx|Infant mortality", US_national_yearly!$D:$AM, 18, FALSE) / VLOOKUP("electricity|NOx|Infant mortality", US_national_yearly!$D:$AM, 10, FALSE), 1)</f>
        <v>3.0215386142708446E-7</v>
      </c>
      <c r="K3" s="7">
        <f>$B3 * IFERROR(VLOOKUP("electricity|NOx|Infant mortality", US_national_yearly!$D:$AM, 19, FALSE) / VLOOKUP("electricity|NOx|Infant mortality", US_national_yearly!$D:$AM, 10, FALSE), 1)</f>
        <v>2.9992399988907368E-7</v>
      </c>
      <c r="L3" s="7">
        <f>$B3 * IFERROR(VLOOKUP("electricity|NOx|Infant mortality", US_national_yearly!$D:$AM, 20, FALSE) / VLOOKUP("electricity|NOx|Infant mortality", US_national_yearly!$D:$AM, 10, FALSE), 1)</f>
        <v>2.9769413835106296E-7</v>
      </c>
      <c r="M3" s="7">
        <f>$B3 * IFERROR(VLOOKUP("electricity|NOx|Infant mortality", US_national_yearly!$D:$AM, 21, FALSE) / VLOOKUP("electricity|NOx|Infant mortality", US_national_yearly!$D:$AM, 10, FALSE), 1)</f>
        <v>2.9546427681305218E-7</v>
      </c>
      <c r="N3" s="7">
        <f>$B3 * IFERROR(VLOOKUP("electricity|NOx|Infant mortality", US_national_yearly!$D:$AM, 22, FALSE) / VLOOKUP("electricity|NOx|Infant mortality", US_national_yearly!$D:$AM, 10, FALSE), 1)</f>
        <v>2.939669087722693E-7</v>
      </c>
      <c r="O3" s="7">
        <f>$B3 * IFERROR(VLOOKUP("electricity|NOx|Infant mortality", US_national_yearly!$D:$AM, 23, FALSE) / VLOOKUP("electricity|NOx|Infant mortality", US_national_yearly!$D:$AM, 10, FALSE), 1)</f>
        <v>2.9246954073148632E-7</v>
      </c>
      <c r="P3" s="7">
        <f>$B3 * IFERROR(VLOOKUP("electricity|NOx|Infant mortality", US_national_yearly!$D:$AM, 24, FALSE) / VLOOKUP("electricity|NOx|Infant mortality", US_national_yearly!$D:$AM, 10, FALSE), 1)</f>
        <v>2.9097217269070339E-7</v>
      </c>
      <c r="Q3" s="7">
        <f>$B3 * IFERROR(VLOOKUP("electricity|NOx|Infant mortality", US_national_yearly!$D:$AM, 25, FALSE) / VLOOKUP("electricity|NOx|Infant mortality", US_national_yearly!$D:$AM, 10, FALSE), 1)</f>
        <v>2.8947480464992041E-7</v>
      </c>
      <c r="R3" s="7">
        <f>$B3 * IFERROR(VLOOKUP("electricity|NOx|Infant mortality", US_national_yearly!$D:$AM, 26, FALSE) / VLOOKUP("electricity|NOx|Infant mortality", US_national_yearly!$D:$AM, 10, FALSE), 1)</f>
        <v>2.8797743660913753E-7</v>
      </c>
      <c r="S3" s="7">
        <f>$B3 * IFERROR(VLOOKUP("electricity|NOx|Infant mortality", US_national_yearly!$D:$AM, 27, FALSE) / VLOOKUP("electricity|NOx|Infant mortality", US_national_yearly!$D:$AM, 10, FALSE), 1)</f>
        <v>2.8619979998636121E-7</v>
      </c>
      <c r="T3" s="7">
        <f>$B3 * IFERROR(VLOOKUP("electricity|NOx|Infant mortality", US_national_yearly!$D:$AM, 28, FALSE) / VLOOKUP("electricity|NOx|Infant mortality", US_national_yearly!$D:$AM, 10, FALSE), 1)</f>
        <v>2.8442216336358494E-7</v>
      </c>
      <c r="U3" s="7">
        <f>$B3 * IFERROR(VLOOKUP("electricity|NOx|Infant mortality", US_national_yearly!$D:$AM, 29, FALSE) / VLOOKUP("electricity|NOx|Infant mortality", US_national_yearly!$D:$AM, 10, FALSE), 1)</f>
        <v>2.8264452674080872E-7</v>
      </c>
      <c r="V3" s="7">
        <f>$B3 * IFERROR(VLOOKUP("electricity|NOx|Infant mortality", US_national_yearly!$D:$AM, 30, FALSE) / VLOOKUP("electricity|NOx|Infant mortality", US_national_yearly!$D:$AM, 10, FALSE), 1)</f>
        <v>2.808668901180325E-7</v>
      </c>
      <c r="W3" s="7">
        <f>$B3 * IFERROR(VLOOKUP("electricity|NOx|Infant mortality", US_national_yearly!$D:$AM, 31, FALSE) / VLOOKUP("electricity|NOx|Infant mortality", US_national_yearly!$D:$AM, 10, FALSE), 1)</f>
        <v>2.7908925349525623E-7</v>
      </c>
      <c r="X3" s="7">
        <f>$B3 * IFERROR(VLOOKUP("electricity|NOx|Infant mortality", US_national_yearly!$D:$AM, 32, FALSE) / VLOOKUP("electricity|NOx|Infant mortality", US_national_yearly!$D:$AM, 10, FALSE), 1)</f>
        <v>2.7725886662184177E-7</v>
      </c>
      <c r="Y3" s="7">
        <f>$B3 * IFERROR(VLOOKUP("electricity|NOx|Infant mortality", US_national_yearly!$D:$AM, 33, FALSE) / VLOOKUP("electricity|NOx|Infant mortality", US_national_yearly!$D:$AM, 10, FALSE), 1)</f>
        <v>2.7542847974842731E-7</v>
      </c>
      <c r="Z3" s="7">
        <f>$B3 * IFERROR(VLOOKUP("electricity|NOx|Infant mortality", US_national_yearly!$D:$AM, 34, FALSE) / VLOOKUP("electricity|NOx|Infant mortality", US_national_yearly!$D:$AM, 10, FALSE), 1)</f>
        <v>2.7359809287501286E-7</v>
      </c>
      <c r="AA3" s="7">
        <f>$B3 * IFERROR(VLOOKUP("electricity|NOx|Infant mortality", US_national_yearly!$D:$AM, 35, FALSE) / VLOOKUP("electricity|NOx|Infant mortality", US_national_yearly!$D:$AM, 10, FALSE), 1)</f>
        <v>2.717677060015984E-7</v>
      </c>
      <c r="AB3" s="7">
        <f>$B3 * IFERROR(VLOOKUP("electricity|NOx|Infant mortality", US_national_yearly!$D:$AM, 36, FALSE) / VLOOKUP("electricity|NOx|Infant mortality", US_national_yearly!$D:$AM, 10, FALSE), 1)</f>
        <v>2.6993731912818389E-7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8.4471346417037529E-4</v>
      </c>
      <c r="C6" s="7">
        <f>$B6 * IFERROR(VLOOKUP("electricity|NOx|Asthma symptoms cough", US_national_yearly!$D:$AM, 11, FALSE) / VLOOKUP("electricity|NOx|Asthma symptoms cough", US_national_yearly!$D:$AM, 10, FALSE), 1)</f>
        <v>8.5631030804648057E-4</v>
      </c>
      <c r="D6" s="7">
        <f>$B6 * IFERROR(VLOOKUP("electricity|NOx|Asthma symptoms cough", US_national_yearly!$D:$AM, 12, FALSE) / VLOOKUP("electricity|NOx|Asthma symptoms cough", US_national_yearly!$D:$AM, 10, FALSE), 1)</f>
        <v>8.6790715192258607E-4</v>
      </c>
      <c r="E6" s="7">
        <f>$B6 * IFERROR(VLOOKUP("electricity|NOx|Asthma symptoms cough", US_national_yearly!$D:$AM, 13, FALSE) / VLOOKUP("electricity|NOx|Asthma symptoms cough", US_national_yearly!$D:$AM, 10, FALSE), 1)</f>
        <v>8.7950399579869146E-4</v>
      </c>
      <c r="F6" s="7">
        <f>$B6 * IFERROR(VLOOKUP("electricity|NOx|Asthma symptoms cough", US_national_yearly!$D:$AM, 14, FALSE) / VLOOKUP("electricity|NOx|Asthma symptoms cough", US_national_yearly!$D:$AM, 10, FALSE), 1)</f>
        <v>8.9110083967479674E-4</v>
      </c>
      <c r="G6" s="7">
        <f>$B6 * IFERROR(VLOOKUP("electricity|NOx|Asthma symptoms cough", US_national_yearly!$D:$AM, 15, FALSE) / VLOOKUP("electricity|NOx|Asthma symptoms cough", US_national_yearly!$D:$AM, 10, FALSE), 1)</f>
        <v>9.0052968863671618E-4</v>
      </c>
      <c r="H6" s="7">
        <f>$B6 * IFERROR(VLOOKUP("electricity|NOx|Asthma symptoms cough", US_national_yearly!$D:$AM, 16, FALSE) / VLOOKUP("electricity|NOx|Asthma symptoms cough", US_national_yearly!$D:$AM, 10, FALSE), 1)</f>
        <v>9.0995853759863563E-4</v>
      </c>
      <c r="I6" s="7">
        <f>$B6 * IFERROR(VLOOKUP("electricity|NOx|Asthma symptoms cough", US_national_yearly!$D:$AM, 17, FALSE) / VLOOKUP("electricity|NOx|Asthma symptoms cough", US_national_yearly!$D:$AM, 10, FALSE), 1)</f>
        <v>9.1346359945469074E-4</v>
      </c>
      <c r="J6" s="7">
        <f>$B6 * IFERROR(VLOOKUP("electricity|NOx|Asthma symptoms cough", US_national_yearly!$D:$AM, 18, FALSE) / VLOOKUP("electricity|NOx|Asthma symptoms cough", US_national_yearly!$D:$AM, 10, FALSE), 1)</f>
        <v>9.1696866131074585E-4</v>
      </c>
      <c r="K6" s="7">
        <f>$B6 * IFERROR(VLOOKUP("electricity|NOx|Asthma symptoms cough", US_national_yearly!$D:$AM, 19, FALSE) / VLOOKUP("electricity|NOx|Asthma symptoms cough", US_national_yearly!$D:$AM, 10, FALSE), 1)</f>
        <v>9.2047372316680118E-4</v>
      </c>
      <c r="L6" s="7">
        <f>$B6 * IFERROR(VLOOKUP("electricity|NOx|Asthma symptoms cough", US_national_yearly!$D:$AM, 20, FALSE) / VLOOKUP("electricity|NOx|Asthma symptoms cough", US_national_yearly!$D:$AM, 10, FALSE), 1)</f>
        <v>9.2397878502285629E-4</v>
      </c>
      <c r="M6" s="7">
        <f>$B6 * IFERROR(VLOOKUP("electricity|NOx|Asthma symptoms cough", US_national_yearly!$D:$AM, 21, FALSE) / VLOOKUP("electricity|NOx|Asthma symptoms cough", US_national_yearly!$D:$AM, 10, FALSE), 1)</f>
        <v>9.2748384687891161E-4</v>
      </c>
      <c r="N6" s="7">
        <f>$B6 * IFERROR(VLOOKUP("electricity|NOx|Asthma symptoms cough", US_national_yearly!$D:$AM, 22, FALSE) / VLOOKUP("electricity|NOx|Asthma symptoms cough", US_national_yearly!$D:$AM, 10, FALSE), 1)</f>
        <v>9.3136742621991494E-4</v>
      </c>
      <c r="O6" s="7">
        <f>$B6 * IFERROR(VLOOKUP("electricity|NOx|Asthma symptoms cough", US_national_yearly!$D:$AM, 23, FALSE) / VLOOKUP("electricity|NOx|Asthma symptoms cough", US_national_yearly!$D:$AM, 10, FALSE), 1)</f>
        <v>9.3525100556091838E-4</v>
      </c>
      <c r="P6" s="7">
        <f>$B6 * IFERROR(VLOOKUP("electricity|NOx|Asthma symptoms cough", US_national_yearly!$D:$AM, 24, FALSE) / VLOOKUP("electricity|NOx|Asthma symptoms cough", US_national_yearly!$D:$AM, 10, FALSE), 1)</f>
        <v>9.3913458490192171E-4</v>
      </c>
      <c r="Q6" s="7">
        <f>$B6 * IFERROR(VLOOKUP("electricity|NOx|Asthma symptoms cough", US_national_yearly!$D:$AM, 25, FALSE) / VLOOKUP("electricity|NOx|Asthma symptoms cough", US_national_yearly!$D:$AM, 10, FALSE), 1)</f>
        <v>9.4301816424292514E-4</v>
      </c>
      <c r="R6" s="7">
        <f>$B6 * IFERROR(VLOOKUP("electricity|NOx|Asthma symptoms cough", US_national_yearly!$D:$AM, 26, FALSE) / VLOOKUP("electricity|NOx|Asthma symptoms cough", US_national_yearly!$D:$AM, 10, FALSE), 1)</f>
        <v>9.4690174358392847E-4</v>
      </c>
      <c r="S6" s="7">
        <f>$B6 * IFERROR(VLOOKUP("electricity|NOx|Asthma symptoms cough", US_national_yearly!$D:$AM, 27, FALSE) / VLOOKUP("electricity|NOx|Asthma symptoms cough", US_national_yearly!$D:$AM, 10, FALSE), 1)</f>
        <v>9.5174686644249452E-4</v>
      </c>
      <c r="T6" s="7">
        <f>$B6 * IFERROR(VLOOKUP("electricity|NOx|Asthma symptoms cough", US_national_yearly!$D:$AM, 28, FALSE) / VLOOKUP("electricity|NOx|Asthma symptoms cough", US_national_yearly!$D:$AM, 10, FALSE), 1)</f>
        <v>9.5659198930106047E-4</v>
      </c>
      <c r="U6" s="7">
        <f>$B6 * IFERROR(VLOOKUP("electricity|NOx|Asthma symptoms cough", US_national_yearly!$D:$AM, 29, FALSE) / VLOOKUP("electricity|NOx|Asthma symptoms cough", US_national_yearly!$D:$AM, 10, FALSE), 1)</f>
        <v>9.6143711215962674E-4</v>
      </c>
      <c r="V6" s="7">
        <f>$B6 * IFERROR(VLOOKUP("electricity|NOx|Asthma symptoms cough", US_national_yearly!$D:$AM, 30, FALSE) / VLOOKUP("electricity|NOx|Asthma symptoms cough", US_national_yearly!$D:$AM, 10, FALSE), 1)</f>
        <v>9.6628223501819268E-4</v>
      </c>
      <c r="W6" s="7">
        <f>$B6 * IFERROR(VLOOKUP("electricity|NOx|Asthma symptoms cough", US_national_yearly!$D:$AM, 31, FALSE) / VLOOKUP("electricity|NOx|Asthma symptoms cough", US_national_yearly!$D:$AM, 10, FALSE), 1)</f>
        <v>9.7112735787675884E-4</v>
      </c>
      <c r="X6" s="7">
        <f>$B6 * IFERROR(VLOOKUP("electricity|NOx|Asthma symptoms cough", US_national_yearly!$D:$AM, 32, FALSE) / VLOOKUP("electricity|NOx|Asthma symptoms cough", US_national_yearly!$D:$AM, 10, FALSE), 1)</f>
        <v>9.7559120190839727E-4</v>
      </c>
      <c r="Y6" s="7">
        <f>$B6 * IFERROR(VLOOKUP("electricity|NOx|Asthma symptoms cough", US_national_yearly!$D:$AM, 33, FALSE) / VLOOKUP("electricity|NOx|Asthma symptoms cough", US_national_yearly!$D:$AM, 10, FALSE), 1)</f>
        <v>9.8005504594003592E-4</v>
      </c>
      <c r="Z6" s="7">
        <f>$B6 * IFERROR(VLOOKUP("electricity|NOx|Asthma symptoms cough", US_national_yearly!$D:$AM, 34, FALSE) / VLOOKUP("electricity|NOx|Asthma symptoms cough", US_national_yearly!$D:$AM, 10, FALSE), 1)</f>
        <v>9.8451888997167446E-4</v>
      </c>
      <c r="AA6" s="7">
        <f>$B6 * IFERROR(VLOOKUP("electricity|NOx|Asthma symptoms cough", US_national_yearly!$D:$AM, 35, FALSE) / VLOOKUP("electricity|NOx|Asthma symptoms cough", US_national_yearly!$D:$AM, 10, FALSE), 1)</f>
        <v>9.88982734003313E-4</v>
      </c>
      <c r="AB6" s="7">
        <f>$B6 * IFERROR(VLOOKUP("electricity|NOx|Asthma symptoms cough", US_national_yearly!$D:$AM, 36, FALSE) / VLOOKUP("electricity|NOx|Asthma symptoms cough", US_national_yearly!$D:$AM, 10, FALSE), 1)</f>
        <v>9.9344657803495176E-4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1.1375263888740688E-3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1.1531431825818272E-3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1.1687599762895858E-3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1.1843767699973441E-3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1.1999935637051025E-3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1.212690845010732E-3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1.2253881263163612E-3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1.2301081887837262E-3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1.2348282512510908E-3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1.2395483137184558E-3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1.2442683761858203E-3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1.2489884386531851E-3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1.2542182285609092E-3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1.2594480184686333E-3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1.2646778083763572E-3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1.2699075982840814E-3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1.2751373881918053E-3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1.2816620327188184E-3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1.288186677245831E-3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1.2947113217728441E-3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1.3012359662998567E-3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1.3077606108268698E-3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1.3137718093791278E-3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1.3197830079313862E-3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1.3257942064836441E-3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1.3318054050359023E-3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1.3378166035881605E-3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1.7379577486921235E-3</v>
      </c>
      <c r="C8" s="7">
        <f>$B8 * IFERROR(VLOOKUP("electricity|NOx|Asthma symptoms wheeze", US_national_yearly!$D:$AM, 11, FALSE) / VLOOKUP("electricity|NOx|Asthma symptoms wheeze", US_national_yearly!$D:$AM, 10, FALSE), 1)</f>
        <v>1.7618177030133369E-3</v>
      </c>
      <c r="D8" s="7">
        <f>$B8 * IFERROR(VLOOKUP("electricity|NOx|Asthma symptoms wheeze", US_national_yearly!$D:$AM, 12, FALSE) / VLOOKUP("electricity|NOx|Asthma symptoms wheeze", US_national_yearly!$D:$AM, 10, FALSE), 1)</f>
        <v>1.7856776573345503E-3</v>
      </c>
      <c r="E8" s="7">
        <f>$B8 * IFERROR(VLOOKUP("electricity|NOx|Asthma symptoms wheeze", US_national_yearly!$D:$AM, 13, FALSE) / VLOOKUP("electricity|NOx|Asthma symptoms wheeze", US_national_yearly!$D:$AM, 10, FALSE), 1)</f>
        <v>1.8095376116557637E-3</v>
      </c>
      <c r="F8" s="7">
        <f>$B8 * IFERROR(VLOOKUP("electricity|NOx|Asthma symptoms wheeze", US_national_yearly!$D:$AM, 14, FALSE) / VLOOKUP("electricity|NOx|Asthma symptoms wheeze", US_national_yearly!$D:$AM, 10, FALSE), 1)</f>
        <v>1.8333975659769774E-3</v>
      </c>
      <c r="G8" s="7">
        <f>$B8 * IFERROR(VLOOKUP("electricity|NOx|Asthma symptoms wheeze", US_national_yearly!$D:$AM, 15, FALSE) / VLOOKUP("electricity|NOx|Asthma symptoms wheeze", US_national_yearly!$D:$AM, 10, FALSE), 1)</f>
        <v>1.8527969739440548E-3</v>
      </c>
      <c r="H8" s="7">
        <f>$B8 * IFERROR(VLOOKUP("electricity|NOx|Asthma symptoms wheeze", US_national_yearly!$D:$AM, 16, FALSE) / VLOOKUP("electricity|NOx|Asthma symptoms wheeze", US_national_yearly!$D:$AM, 10, FALSE), 1)</f>
        <v>1.8721963819111325E-3</v>
      </c>
      <c r="I8" s="7">
        <f>$B8 * IFERROR(VLOOKUP("electricity|NOx|Asthma symptoms wheeze", US_national_yearly!$D:$AM, 17, FALSE) / VLOOKUP("electricity|NOx|Asthma symptoms wheeze", US_national_yearly!$D:$AM, 10, FALSE), 1)</f>
        <v>1.8794078798444209E-3</v>
      </c>
      <c r="J8" s="7">
        <f>$B8 * IFERROR(VLOOKUP("electricity|NOx|Asthma symptoms wheeze", US_national_yearly!$D:$AM, 18, FALSE) / VLOOKUP("electricity|NOx|Asthma symptoms wheeze", US_national_yearly!$D:$AM, 10, FALSE), 1)</f>
        <v>1.8866193777777095E-3</v>
      </c>
      <c r="K8" s="7">
        <f>$B8 * IFERROR(VLOOKUP("electricity|NOx|Asthma symptoms wheeze", US_national_yearly!$D:$AM, 19, FALSE) / VLOOKUP("electricity|NOx|Asthma symptoms wheeze", US_national_yearly!$D:$AM, 10, FALSE), 1)</f>
        <v>1.8938308757109987E-3</v>
      </c>
      <c r="L8" s="7">
        <f>$B8 * IFERROR(VLOOKUP("electricity|NOx|Asthma symptoms wheeze", US_national_yearly!$D:$AM, 20, FALSE) / VLOOKUP("electricity|NOx|Asthma symptoms wheeze", US_national_yearly!$D:$AM, 10, FALSE), 1)</f>
        <v>1.9010423736442871E-3</v>
      </c>
      <c r="M8" s="7">
        <f>$B8 * IFERROR(VLOOKUP("electricity|NOx|Asthma symptoms wheeze", US_national_yearly!$D:$AM, 21, FALSE) / VLOOKUP("electricity|NOx|Asthma symptoms wheeze", US_national_yearly!$D:$AM, 10, FALSE), 1)</f>
        <v>1.9082538715775757E-3</v>
      </c>
      <c r="N8" s="7">
        <f>$B8 * IFERROR(VLOOKUP("electricity|NOx|Asthma symptoms wheeze", US_national_yearly!$D:$AM, 22, FALSE) / VLOOKUP("electricity|NOx|Asthma symptoms wheeze", US_national_yearly!$D:$AM, 10, FALSE), 1)</f>
        <v>1.9162441512201977E-3</v>
      </c>
      <c r="O8" s="7">
        <f>$B8 * IFERROR(VLOOKUP("electricity|NOx|Asthma symptoms wheeze", US_national_yearly!$D:$AM, 23, FALSE) / VLOOKUP("electricity|NOx|Asthma symptoms wheeze", US_national_yearly!$D:$AM, 10, FALSE), 1)</f>
        <v>1.9242344308628204E-3</v>
      </c>
      <c r="P8" s="7">
        <f>$B8 * IFERROR(VLOOKUP("electricity|NOx|Asthma symptoms wheeze", US_national_yearly!$D:$AM, 24, FALSE) / VLOOKUP("electricity|NOx|Asthma symptoms wheeze", US_national_yearly!$D:$AM, 10, FALSE), 1)</f>
        <v>1.9322247105054429E-3</v>
      </c>
      <c r="Q8" s="7">
        <f>$B8 * IFERROR(VLOOKUP("electricity|NOx|Asthma symptoms wheeze", US_national_yearly!$D:$AM, 25, FALSE) / VLOOKUP("electricity|NOx|Asthma symptoms wheeze", US_national_yearly!$D:$AM, 10, FALSE), 1)</f>
        <v>1.9402149901480651E-3</v>
      </c>
      <c r="R8" s="7">
        <f>$B8 * IFERROR(VLOOKUP("electricity|NOx|Asthma symptoms wheeze", US_national_yearly!$D:$AM, 26, FALSE) / VLOOKUP("electricity|NOx|Asthma symptoms wheeze", US_national_yearly!$D:$AM, 10, FALSE), 1)</f>
        <v>1.9482052697906871E-3</v>
      </c>
      <c r="S8" s="7">
        <f>$B8 * IFERROR(VLOOKUP("electricity|NOx|Asthma symptoms wheeze", US_national_yearly!$D:$AM, 27, FALSE) / VLOOKUP("electricity|NOx|Asthma symptoms wheeze", US_national_yearly!$D:$AM, 10, FALSE), 1)</f>
        <v>1.9581738794558724E-3</v>
      </c>
      <c r="T8" s="7">
        <f>$B8 * IFERROR(VLOOKUP("electricity|NOx|Asthma symptoms wheeze", US_national_yearly!$D:$AM, 28, FALSE) / VLOOKUP("electricity|NOx|Asthma symptoms wheeze", US_national_yearly!$D:$AM, 10, FALSE), 1)</f>
        <v>1.9681424891210574E-3</v>
      </c>
      <c r="U8" s="7">
        <f>$B8 * IFERROR(VLOOKUP("electricity|NOx|Asthma symptoms wheeze", US_national_yearly!$D:$AM, 29, FALSE) / VLOOKUP("electricity|NOx|Asthma symptoms wheeze", US_national_yearly!$D:$AM, 10, FALSE), 1)</f>
        <v>1.9781110987862425E-3</v>
      </c>
      <c r="V8" s="7">
        <f>$B8 * IFERROR(VLOOKUP("electricity|NOx|Asthma symptoms wheeze", US_national_yearly!$D:$AM, 30, FALSE) / VLOOKUP("electricity|NOx|Asthma symptoms wheeze", US_national_yearly!$D:$AM, 10, FALSE), 1)</f>
        <v>1.9880797084514275E-3</v>
      </c>
      <c r="W8" s="7">
        <f>$B8 * IFERROR(VLOOKUP("electricity|NOx|Asthma symptoms wheeze", US_national_yearly!$D:$AM, 31, FALSE) / VLOOKUP("electricity|NOx|Asthma symptoms wheeze", US_national_yearly!$D:$AM, 10, FALSE), 1)</f>
        <v>1.9980483181166126E-3</v>
      </c>
      <c r="X8" s="7">
        <f>$B8 * IFERROR(VLOOKUP("electricity|NOx|Asthma symptoms wheeze", US_national_yearly!$D:$AM, 32, FALSE) / VLOOKUP("electricity|NOx|Asthma symptoms wheeze", US_national_yearly!$D:$AM, 10, FALSE), 1)</f>
        <v>2.007232464741836E-3</v>
      </c>
      <c r="Y8" s="7">
        <f>$B8 * IFERROR(VLOOKUP("electricity|NOx|Asthma symptoms wheeze", US_national_yearly!$D:$AM, 33, FALSE) / VLOOKUP("electricity|NOx|Asthma symptoms wheeze", US_national_yearly!$D:$AM, 10, FALSE), 1)</f>
        <v>2.0164166113670599E-3</v>
      </c>
      <c r="Z8" s="7">
        <f>$B8 * IFERROR(VLOOKUP("electricity|NOx|Asthma symptoms wheeze", US_national_yearly!$D:$AM, 34, FALSE) / VLOOKUP("electricity|NOx|Asthma symptoms wheeze", US_national_yearly!$D:$AM, 10, FALSE), 1)</f>
        <v>2.0256007579922829E-3</v>
      </c>
      <c r="AA8" s="7">
        <f>$B8 * IFERROR(VLOOKUP("electricity|NOx|Asthma symptoms wheeze", US_national_yearly!$D:$AM, 35, FALSE) / VLOOKUP("electricity|NOx|Asthma symptoms wheeze", US_national_yearly!$D:$AM, 10, FALSE), 1)</f>
        <v>2.0347849046175068E-3</v>
      </c>
      <c r="AB8" s="7">
        <f>$B8 * IFERROR(VLOOKUP("electricity|NOx|Asthma symptoms wheeze", US_national_yearly!$D:$AM, 36, FALSE) / VLOOKUP("electricity|NOx|Asthma symptoms wheeze", US_national_yearly!$D:$AM, 10, FALSE), 1)</f>
        <v>2.0439690512427302E-3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2.2831970993711707E-5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2.3416735905667287E-5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2.4001500817622873E-5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2.4586265729578456E-5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2.5171030641534029E-5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2.5733957089680908E-5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2.6296883537827794E-5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2.6780953972187416E-5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2.7265024406547039E-5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2.7749094840906675E-5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2.8233165275266298E-5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2.8717235709625927E-5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2.9048975256809389E-5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2.9380714803992855E-5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2.9712454351176321E-5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3.0044193898359787E-5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3.0375933445543249E-5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3.0564869701214265E-5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3.0753805956885291E-5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3.0942742212556304E-5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3.1131678468227323E-5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3.1320614723898343E-5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3.1458036676746935E-5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3.1595458629595528E-5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3.1732880582444128E-5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3.1870302535292721E-5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3.2007724488141307E-5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1.4599406929588363E-4</v>
      </c>
      <c r="C13" s="7">
        <f>$B13 * IFERROR(VLOOKUP("electricity|NOx|Non-fatal heart attacks", US_national_yearly!$D:$AM, 11, FALSE) / VLOOKUP("electricity|NOx|Non-fatal heart attacks", US_national_yearly!$D:$AM, 10, FALSE), 1)</f>
        <v>1.5018369687839269E-4</v>
      </c>
      <c r="D13" s="7">
        <f>$B13 * IFERROR(VLOOKUP("electricity|NOx|Non-fatal heart attacks", US_national_yearly!$D:$AM, 12, FALSE) / VLOOKUP("electricity|NOx|Non-fatal heart attacks", US_national_yearly!$D:$AM, 10, FALSE), 1)</f>
        <v>1.5437332446090172E-4</v>
      </c>
      <c r="E13" s="7">
        <f>$B13 * IFERROR(VLOOKUP("electricity|NOx|Non-fatal heart attacks", US_national_yearly!$D:$AM, 13, FALSE) / VLOOKUP("electricity|NOx|Non-fatal heart attacks", US_national_yearly!$D:$AM, 10, FALSE), 1)</f>
        <v>1.5856295204341077E-4</v>
      </c>
      <c r="F13" s="7">
        <f>$B13 * IFERROR(VLOOKUP("electricity|NOx|Non-fatal heart attacks", US_national_yearly!$D:$AM, 14, FALSE) / VLOOKUP("electricity|NOx|Non-fatal heart attacks", US_national_yearly!$D:$AM, 10, FALSE), 1)</f>
        <v>1.6275257962591986E-4</v>
      </c>
      <c r="G13" s="7">
        <f>$B13 * IFERROR(VLOOKUP("electricity|NOx|Non-fatal heart attacks", US_national_yearly!$D:$AM, 15, FALSE) / VLOOKUP("electricity|NOx|Non-fatal heart attacks", US_national_yearly!$D:$AM, 10, FALSE), 1)</f>
        <v>1.6669936955772294E-4</v>
      </c>
      <c r="H13" s="7">
        <f>$B13 * IFERROR(VLOOKUP("electricity|NOx|Non-fatal heart attacks", US_national_yearly!$D:$AM, 16, FALSE) / VLOOKUP("electricity|NOx|Non-fatal heart attacks", US_national_yearly!$D:$AM, 10, FALSE), 1)</f>
        <v>1.7064615948952604E-4</v>
      </c>
      <c r="I13" s="7">
        <f>$B13 * IFERROR(VLOOKUP("electricity|NOx|Non-fatal heart attacks", US_national_yearly!$D:$AM, 17, FALSE) / VLOOKUP("electricity|NOx|Non-fatal heart attacks", US_national_yearly!$D:$AM, 10, FALSE), 1)</f>
        <v>1.7381108572079809E-4</v>
      </c>
      <c r="J13" s="7">
        <f>$B13 * IFERROR(VLOOKUP("electricity|NOx|Non-fatal heart attacks", US_national_yearly!$D:$AM, 18, FALSE) / VLOOKUP("electricity|NOx|Non-fatal heart attacks", US_national_yearly!$D:$AM, 10, FALSE), 1)</f>
        <v>1.7697601195207013E-4</v>
      </c>
      <c r="K13" s="7">
        <f>$B13 * IFERROR(VLOOKUP("electricity|NOx|Non-fatal heart attacks", US_national_yearly!$D:$AM, 19, FALSE) / VLOOKUP("electricity|NOx|Non-fatal heart attacks", US_national_yearly!$D:$AM, 10, FALSE), 1)</f>
        <v>1.8014093818334202E-4</v>
      </c>
      <c r="L13" s="7">
        <f>$B13 * IFERROR(VLOOKUP("electricity|NOx|Non-fatal heart attacks", US_national_yearly!$D:$AM, 20, FALSE) / VLOOKUP("electricity|NOx|Non-fatal heart attacks", US_national_yearly!$D:$AM, 10, FALSE), 1)</f>
        <v>1.8330586441461409E-4</v>
      </c>
      <c r="M13" s="7">
        <f>$B13 * IFERROR(VLOOKUP("electricity|NOx|Non-fatal heart attacks", US_national_yearly!$D:$AM, 21, FALSE) / VLOOKUP("electricity|NOx|Non-fatal heart attacks", US_national_yearly!$D:$AM, 10, FALSE), 1)</f>
        <v>1.8647079064588616E-4</v>
      </c>
      <c r="N13" s="7">
        <f>$B13 * IFERROR(VLOOKUP("electricity|NOx|Non-fatal heart attacks", US_national_yearly!$D:$AM, 22, FALSE) / VLOOKUP("electricity|NOx|Non-fatal heart attacks", US_national_yearly!$D:$AM, 10, FALSE), 1)</f>
        <v>1.884226664118038E-4</v>
      </c>
      <c r="O13" s="7">
        <f>$B13 * IFERROR(VLOOKUP("electricity|NOx|Non-fatal heart attacks", US_national_yearly!$D:$AM, 23, FALSE) / VLOOKUP("electricity|NOx|Non-fatal heart attacks", US_national_yearly!$D:$AM, 10, FALSE), 1)</f>
        <v>1.9037454217772149E-4</v>
      </c>
      <c r="P13" s="7">
        <f>$B13 * IFERROR(VLOOKUP("electricity|NOx|Non-fatal heart attacks", US_national_yearly!$D:$AM, 24, FALSE) / VLOOKUP("electricity|NOx|Non-fatal heart attacks", US_national_yearly!$D:$AM, 10, FALSE), 1)</f>
        <v>1.9232641794363916E-4</v>
      </c>
      <c r="Q13" s="7">
        <f>$B13 * IFERROR(VLOOKUP("electricity|NOx|Non-fatal heart attacks", US_national_yearly!$D:$AM, 25, FALSE) / VLOOKUP("electricity|NOx|Non-fatal heart attacks", US_national_yearly!$D:$AM, 10, FALSE), 1)</f>
        <v>1.9427829370955682E-4</v>
      </c>
      <c r="R13" s="7">
        <f>$B13 * IFERROR(VLOOKUP("electricity|NOx|Non-fatal heart attacks", US_national_yearly!$D:$AM, 26, FALSE) / VLOOKUP("electricity|NOx|Non-fatal heart attacks", US_national_yearly!$D:$AM, 10, FALSE), 1)</f>
        <v>1.9623016947547449E-4</v>
      </c>
      <c r="S13" s="7">
        <f>$B13 * IFERROR(VLOOKUP("electricity|NOx|Non-fatal heart attacks", US_national_yearly!$D:$AM, 27, FALSE) / VLOOKUP("electricity|NOx|Non-fatal heart attacks", US_national_yearly!$D:$AM, 10, FALSE), 1)</f>
        <v>1.971838494719944E-4</v>
      </c>
      <c r="T13" s="7">
        <f>$B13 * IFERROR(VLOOKUP("electricity|NOx|Non-fatal heart attacks", US_national_yearly!$D:$AM, 28, FALSE) / VLOOKUP("electricity|NOx|Non-fatal heart attacks", US_national_yearly!$D:$AM, 10, FALSE), 1)</f>
        <v>1.9813752946851426E-4</v>
      </c>
      <c r="U13" s="7">
        <f>$B13 * IFERROR(VLOOKUP("electricity|NOx|Non-fatal heart attacks", US_national_yearly!$D:$AM, 29, FALSE) / VLOOKUP("electricity|NOx|Non-fatal heart attacks", US_national_yearly!$D:$AM, 10, FALSE), 1)</f>
        <v>1.9909120946503419E-4</v>
      </c>
      <c r="V13" s="7">
        <f>$B13 * IFERROR(VLOOKUP("electricity|NOx|Non-fatal heart attacks", US_national_yearly!$D:$AM, 30, FALSE) / VLOOKUP("electricity|NOx|Non-fatal heart attacks", US_national_yearly!$D:$AM, 10, FALSE), 1)</f>
        <v>2.0004488946155405E-4</v>
      </c>
      <c r="W13" s="7">
        <f>$B13 * IFERROR(VLOOKUP("electricity|NOx|Non-fatal heart attacks", US_national_yearly!$D:$AM, 31, FALSE) / VLOOKUP("electricity|NOx|Non-fatal heart attacks", US_national_yearly!$D:$AM, 10, FALSE), 1)</f>
        <v>2.0099856945807399E-4</v>
      </c>
      <c r="X13" s="7">
        <f>$B13 * IFERROR(VLOOKUP("electricity|NOx|Non-fatal heart attacks", US_national_yearly!$D:$AM, 32, FALSE) / VLOOKUP("electricity|NOx|Non-fatal heart attacks", US_national_yearly!$D:$AM, 10, FALSE), 1)</f>
        <v>2.0166421275147797E-4</v>
      </c>
      <c r="Y13" s="7">
        <f>$B13 * IFERROR(VLOOKUP("electricity|NOx|Non-fatal heart attacks", US_national_yearly!$D:$AM, 33, FALSE) / VLOOKUP("electricity|NOx|Non-fatal heart attacks", US_national_yearly!$D:$AM, 10, FALSE), 1)</f>
        <v>2.0232985604488204E-4</v>
      </c>
      <c r="Z13" s="7">
        <f>$B13 * IFERROR(VLOOKUP("electricity|NOx|Non-fatal heart attacks", US_national_yearly!$D:$AM, 34, FALSE) / VLOOKUP("electricity|NOx|Non-fatal heart attacks", US_national_yearly!$D:$AM, 10, FALSE), 1)</f>
        <v>2.02995499338286E-4</v>
      </c>
      <c r="AA13" s="7">
        <f>$B13 * IFERROR(VLOOKUP("electricity|NOx|Non-fatal heart attacks", US_national_yearly!$D:$AM, 35, FALSE) / VLOOKUP("electricity|NOx|Non-fatal heart attacks", US_national_yearly!$D:$AM, 10, FALSE), 1)</f>
        <v>2.0366114263168999E-4</v>
      </c>
      <c r="AB13" s="7">
        <f>$B13 * IFERROR(VLOOKUP("electricity|NOx|Non-fatal heart attacks", US_national_yearly!$D:$AM, 36, FALSE) / VLOOKUP("electricity|NOx|Non-fatal heart attacks", US_national_yearly!$D:$AM, 10, FALSE), 1)</f>
        <v>2.0432678592509406E-4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0.10715256328136502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0.1073168515566042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0.10748113983184336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0.10764542810708254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0.10780971638232173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0.1080962925461345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0.10838286870994725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0.1089498577093143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0.1095168467086813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0.11008383570804835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0.11065082470741536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0.11121781370678241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0.11203772743848317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0.11285764117018392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0.11367755490188466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0.11449746863358544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0.1153173823652862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0.11614349654897535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0.1169696107326645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0.11779572491635368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0.11862183910004283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0.11944795328373196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0.12014660106244562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0.12084524884115921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0.12154389661987296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0.12224254439858659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0.12294119217730022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1.8132700766552365E-2</v>
      </c>
      <c r="C15" s="7">
        <f>$B15 * IFERROR(VLOOKUP("electricity|NOx|Work loss days", US_national_yearly!$D:$AM, 11, FALSE) / VLOOKUP("electricity|NOx|Work loss days", US_national_yearly!$D:$AM, 10, FALSE), 1)</f>
        <v>1.8173143169895597E-2</v>
      </c>
      <c r="D15" s="7">
        <f>$B15 * IFERROR(VLOOKUP("electricity|NOx|Work loss days", US_national_yearly!$D:$AM, 12, FALSE) / VLOOKUP("electricity|NOx|Work loss days", US_national_yearly!$D:$AM, 10, FALSE), 1)</f>
        <v>1.8213585573238829E-2</v>
      </c>
      <c r="E15" s="7">
        <f>$B15 * IFERROR(VLOOKUP("electricity|NOx|Work loss days", US_national_yearly!$D:$AM, 13, FALSE) / VLOOKUP("electricity|NOx|Work loss days", US_national_yearly!$D:$AM, 10, FALSE), 1)</f>
        <v>1.8254027976582061E-2</v>
      </c>
      <c r="F15" s="7">
        <f>$B15 * IFERROR(VLOOKUP("electricity|NOx|Work loss days", US_national_yearly!$D:$AM, 14, FALSE) / VLOOKUP("electricity|NOx|Work loss days", US_national_yearly!$D:$AM, 10, FALSE), 1)</f>
        <v>1.8294470379925296E-2</v>
      </c>
      <c r="G15" s="7">
        <f>$B15 * IFERROR(VLOOKUP("electricity|NOx|Work loss days", US_national_yearly!$D:$AM, 15, FALSE) / VLOOKUP("electricity|NOx|Work loss days", US_national_yearly!$D:$AM, 10, FALSE), 1)</f>
        <v>1.8351484897548682E-2</v>
      </c>
      <c r="H15" s="7">
        <f>$B15 * IFERROR(VLOOKUP("electricity|NOx|Work loss days", US_national_yearly!$D:$AM, 16, FALSE) / VLOOKUP("electricity|NOx|Work loss days", US_national_yearly!$D:$AM, 10, FALSE), 1)</f>
        <v>1.8408499415172065E-2</v>
      </c>
      <c r="I15" s="7">
        <f>$B15 * IFERROR(VLOOKUP("electricity|NOx|Work loss days", US_national_yearly!$D:$AM, 17, FALSE) / VLOOKUP("electricity|NOx|Work loss days", US_national_yearly!$D:$AM, 10, FALSE), 1)</f>
        <v>1.8501075686385603E-2</v>
      </c>
      <c r="J15" s="7">
        <f>$B15 * IFERROR(VLOOKUP("electricity|NOx|Work loss days", US_national_yearly!$D:$AM, 18, FALSE) / VLOOKUP("electricity|NOx|Work loss days", US_national_yearly!$D:$AM, 10, FALSE), 1)</f>
        <v>1.8593651957599142E-2</v>
      </c>
      <c r="K15" s="7">
        <f>$B15 * IFERROR(VLOOKUP("electricity|NOx|Work loss days", US_national_yearly!$D:$AM, 19, FALSE) / VLOOKUP("electricity|NOx|Work loss days", US_national_yearly!$D:$AM, 10, FALSE), 1)</f>
        <v>1.8686228228812676E-2</v>
      </c>
      <c r="L15" s="7">
        <f>$B15 * IFERROR(VLOOKUP("electricity|NOx|Work loss days", US_national_yearly!$D:$AM, 20, FALSE) / VLOOKUP("electricity|NOx|Work loss days", US_national_yearly!$D:$AM, 10, FALSE), 1)</f>
        <v>1.8778804500026211E-2</v>
      </c>
      <c r="M15" s="7">
        <f>$B15 * IFERROR(VLOOKUP("electricity|NOx|Work loss days", US_national_yearly!$D:$AM, 21, FALSE) / VLOOKUP("electricity|NOx|Work loss days", US_national_yearly!$D:$AM, 10, FALSE), 1)</f>
        <v>1.8871380771239746E-2</v>
      </c>
      <c r="N15" s="7">
        <f>$B15 * IFERROR(VLOOKUP("electricity|NOx|Work loss days", US_national_yearly!$D:$AM, 22, FALSE) / VLOOKUP("electricity|NOx|Work loss days", US_national_yearly!$D:$AM, 10, FALSE), 1)</f>
        <v>1.8993523039407427E-2</v>
      </c>
      <c r="O15" s="7">
        <f>$B15 * IFERROR(VLOOKUP("electricity|NOx|Work loss days", US_national_yearly!$D:$AM, 23, FALSE) / VLOOKUP("electricity|NOx|Work loss days", US_national_yearly!$D:$AM, 10, FALSE), 1)</f>
        <v>1.9115665307575108E-2</v>
      </c>
      <c r="P15" s="7">
        <f>$B15 * IFERROR(VLOOKUP("electricity|NOx|Work loss days", US_national_yearly!$D:$AM, 24, FALSE) / VLOOKUP("electricity|NOx|Work loss days", US_national_yearly!$D:$AM, 10, FALSE), 1)</f>
        <v>1.9237807575742789E-2</v>
      </c>
      <c r="Q15" s="7">
        <f>$B15 * IFERROR(VLOOKUP("electricity|NOx|Work loss days", US_national_yearly!$D:$AM, 25, FALSE) / VLOOKUP("electricity|NOx|Work loss days", US_national_yearly!$D:$AM, 10, FALSE), 1)</f>
        <v>1.9359949843910474E-2</v>
      </c>
      <c r="R15" s="7">
        <f>$B15 * IFERROR(VLOOKUP("electricity|NOx|Work loss days", US_national_yearly!$D:$AM, 26, FALSE) / VLOOKUP("electricity|NOx|Work loss days", US_national_yearly!$D:$AM, 10, FALSE), 1)</f>
        <v>1.9482092112078148E-2</v>
      </c>
      <c r="S15" s="7">
        <f>$B15 * IFERROR(VLOOKUP("electricity|NOx|Work loss days", US_national_yearly!$D:$AM, 27, FALSE) / VLOOKUP("electricity|NOx|Work loss days", US_national_yearly!$D:$AM, 10, FALSE), 1)</f>
        <v>1.9618968077173601E-2</v>
      </c>
      <c r="T15" s="7">
        <f>$B15 * IFERROR(VLOOKUP("electricity|NOx|Work loss days", US_national_yearly!$D:$AM, 28, FALSE) / VLOOKUP("electricity|NOx|Work loss days", US_national_yearly!$D:$AM, 10, FALSE), 1)</f>
        <v>1.9755844042269047E-2</v>
      </c>
      <c r="U15" s="7">
        <f>$B15 * IFERROR(VLOOKUP("electricity|NOx|Work loss days", US_national_yearly!$D:$AM, 29, FALSE) / VLOOKUP("electricity|NOx|Work loss days", US_national_yearly!$D:$AM, 10, FALSE), 1)</f>
        <v>1.9892720007364497E-2</v>
      </c>
      <c r="V15" s="7">
        <f>$B15 * IFERROR(VLOOKUP("electricity|NOx|Work loss days", US_national_yearly!$D:$AM, 30, FALSE) / VLOOKUP("electricity|NOx|Work loss days", US_national_yearly!$D:$AM, 10, FALSE), 1)</f>
        <v>2.0029595972459943E-2</v>
      </c>
      <c r="W15" s="7">
        <f>$B15 * IFERROR(VLOOKUP("electricity|NOx|Work loss days", US_national_yearly!$D:$AM, 31, FALSE) / VLOOKUP("electricity|NOx|Work loss days", US_national_yearly!$D:$AM, 10, FALSE), 1)</f>
        <v>2.0166471937555396E-2</v>
      </c>
      <c r="X15" s="7">
        <f>$B15 * IFERROR(VLOOKUP("electricity|NOx|Work loss days", US_national_yearly!$D:$AM, 32, FALSE) / VLOOKUP("electricity|NOx|Work loss days", US_national_yearly!$D:$AM, 10, FALSE), 1)</f>
        <v>2.0285787308954004E-2</v>
      </c>
      <c r="Y15" s="7">
        <f>$B15 * IFERROR(VLOOKUP("electricity|NOx|Work loss days", US_national_yearly!$D:$AM, 33, FALSE) / VLOOKUP("electricity|NOx|Work loss days", US_national_yearly!$D:$AM, 10, FALSE), 1)</f>
        <v>2.0405102680352616E-2</v>
      </c>
      <c r="Z15" s="7">
        <f>$B15 * IFERROR(VLOOKUP("electricity|NOx|Work loss days", US_national_yearly!$D:$AM, 34, FALSE) / VLOOKUP("electricity|NOx|Work loss days", US_national_yearly!$D:$AM, 10, FALSE), 1)</f>
        <v>2.0524418051751224E-2</v>
      </c>
      <c r="AA15" s="7">
        <f>$B15 * IFERROR(VLOOKUP("electricity|NOx|Work loss days", US_national_yearly!$D:$AM, 35, FALSE) / VLOOKUP("electricity|NOx|Work loss days", US_national_yearly!$D:$AM, 10, FALSE), 1)</f>
        <v>2.0643733423149839E-2</v>
      </c>
      <c r="AB15" s="7">
        <f>$B15 * IFERROR(VLOOKUP("electricity|NOx|Work loss days", US_national_yearly!$D:$AM, 36, FALSE) / VLOOKUP("electricity|NOx|Work loss days", US_national_yearly!$D:$AM, 10, FALSE), 1)</f>
        <v>2.0763048794548447E-2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4.0415082649725305E-5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4.1605574923463057E-5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4.2796067197200815E-5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4.3986559470938566E-5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4.5177051744676325E-5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4.6317040530631921E-5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4.7457029316587518E-5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4.8430068266435211E-5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4.9403107216282918E-5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5.0376146166130625E-5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5.1349185115978331E-5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5.2322224065826031E-5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5.2946693339201716E-5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5.3571162612577408E-5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5.4195631885953093E-5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5.4820101159328784E-5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5.5444570432704469E-5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5.5751882767276313E-5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5.6059195101848149E-5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5.6366507436419993E-5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5.6673819770991836E-5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5.698113210556368E-5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5.7165316060510777E-5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5.7349500015457881E-5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5.7533683970404978E-5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5.7717867925352082E-5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5.7902051880299179E-5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5.1298780129537067E-4</v>
      </c>
      <c r="C2" s="7">
        <f>$B2 * IFERROR(VLOOKUP("electricity|SO2|Premature mortality", US_national_yearly!$D:$AM, 11, FALSE) / VLOOKUP("electricity|SO2|Premature mortality", US_national_yearly!$D:$AM, 10, FALSE), 1)</f>
        <v>5.1956442325760358E-4</v>
      </c>
      <c r="D2" s="7">
        <f>$B2 * IFERROR(VLOOKUP("electricity|SO2|Premature mortality", US_national_yearly!$D:$AM, 12, FALSE) / VLOOKUP("electricity|SO2|Premature mortality", US_national_yearly!$D:$AM, 10, FALSE), 1)</f>
        <v>5.2614104521983649E-4</v>
      </c>
      <c r="E2" s="7">
        <f>$B2 * IFERROR(VLOOKUP("electricity|SO2|Premature mortality", US_national_yearly!$D:$AM, 13, FALSE) / VLOOKUP("electricity|SO2|Premature mortality", US_national_yearly!$D:$AM, 10, FALSE), 1)</f>
        <v>5.327176671820694E-4</v>
      </c>
      <c r="F2" s="7">
        <f>$B2 * IFERROR(VLOOKUP("electricity|SO2|Premature mortality", US_national_yearly!$D:$AM, 14, FALSE) / VLOOKUP("electricity|SO2|Premature mortality", US_national_yearly!$D:$AM, 10, FALSE), 1)</f>
        <v>5.3929428914430231E-4</v>
      </c>
      <c r="G2" s="7">
        <f>$B2 * IFERROR(VLOOKUP("electricity|SO2|Premature mortality", US_national_yearly!$D:$AM, 15, FALSE) / VLOOKUP("electricity|SO2|Premature mortality", US_national_yearly!$D:$AM, 10, FALSE), 1)</f>
        <v>5.5196350089779019E-4</v>
      </c>
      <c r="H2" s="7">
        <f>$B2 * IFERROR(VLOOKUP("electricity|SO2|Premature mortality", US_national_yearly!$D:$AM, 16, FALSE) / VLOOKUP("electricity|SO2|Premature mortality", US_national_yearly!$D:$AM, 10, FALSE), 1)</f>
        <v>5.6463271265127797E-4</v>
      </c>
      <c r="I2" s="7">
        <f>$B2 * IFERROR(VLOOKUP("electricity|SO2|Premature mortality", US_national_yearly!$D:$AM, 17, FALSE) / VLOOKUP("electricity|SO2|Premature mortality", US_national_yearly!$D:$AM, 10, FALSE), 1)</f>
        <v>5.7316084198775086E-4</v>
      </c>
      <c r="J2" s="7">
        <f>$B2 * IFERROR(VLOOKUP("electricity|SO2|Premature mortality", US_national_yearly!$D:$AM, 18, FALSE) / VLOOKUP("electricity|SO2|Premature mortality", US_national_yearly!$D:$AM, 10, FALSE), 1)</f>
        <v>5.8168897132422376E-4</v>
      </c>
      <c r="K2" s="7">
        <f>$B2 * IFERROR(VLOOKUP("electricity|SO2|Premature mortality", US_national_yearly!$D:$AM, 19, FALSE) / VLOOKUP("electricity|SO2|Premature mortality", US_national_yearly!$D:$AM, 10, FALSE), 1)</f>
        <v>5.9021710066069655E-4</v>
      </c>
      <c r="L2" s="7">
        <f>$B2 * IFERROR(VLOOKUP("electricity|SO2|Premature mortality", US_national_yearly!$D:$AM, 20, FALSE) / VLOOKUP("electricity|SO2|Premature mortality", US_national_yearly!$D:$AM, 10, FALSE), 1)</f>
        <v>5.9874522999716945E-4</v>
      </c>
      <c r="M2" s="7">
        <f>$B2 * IFERROR(VLOOKUP("electricity|SO2|Premature mortality", US_national_yearly!$D:$AM, 21, FALSE) / VLOOKUP("electricity|SO2|Premature mortality", US_national_yearly!$D:$AM, 10, FALSE), 1)</f>
        <v>6.0727335933364224E-4</v>
      </c>
      <c r="N2" s="7">
        <f>$B2 * IFERROR(VLOOKUP("electricity|SO2|Premature mortality", US_national_yearly!$D:$AM, 22, FALSE) / VLOOKUP("electricity|SO2|Premature mortality", US_national_yearly!$D:$AM, 10, FALSE), 1)</f>
        <v>6.1410797526773627E-4</v>
      </c>
      <c r="O2" s="7">
        <f>$B2 * IFERROR(VLOOKUP("electricity|SO2|Premature mortality", US_national_yearly!$D:$AM, 23, FALSE) / VLOOKUP("electricity|SO2|Premature mortality", US_national_yearly!$D:$AM, 10, FALSE), 1)</f>
        <v>6.2094259120183042E-4</v>
      </c>
      <c r="P2" s="7">
        <f>$B2 * IFERROR(VLOOKUP("electricity|SO2|Premature mortality", US_national_yearly!$D:$AM, 24, FALSE) / VLOOKUP("electricity|SO2|Premature mortality", US_national_yearly!$D:$AM, 10, FALSE), 1)</f>
        <v>6.2777720713592434E-4</v>
      </c>
      <c r="Q2" s="7">
        <f>$B2 * IFERROR(VLOOKUP("electricity|SO2|Premature mortality", US_national_yearly!$D:$AM, 25, FALSE) / VLOOKUP("electricity|SO2|Premature mortality", US_national_yearly!$D:$AM, 10, FALSE), 1)</f>
        <v>6.3461182307001838E-4</v>
      </c>
      <c r="R2" s="7">
        <f>$B2 * IFERROR(VLOOKUP("electricity|SO2|Premature mortality", US_national_yearly!$D:$AM, 26, FALSE) / VLOOKUP("electricity|SO2|Premature mortality", US_national_yearly!$D:$AM, 10, FALSE), 1)</f>
        <v>6.4144643900411241E-4</v>
      </c>
      <c r="S2" s="7">
        <f>$B2 * IFERROR(VLOOKUP("electricity|SO2|Premature mortality", US_national_yearly!$D:$AM, 27, FALSE) / VLOOKUP("electricity|SO2|Premature mortality", US_national_yearly!$D:$AM, 10, FALSE), 1)</f>
        <v>6.4536492395515397E-4</v>
      </c>
      <c r="T2" s="7">
        <f>$B2 * IFERROR(VLOOKUP("electricity|SO2|Premature mortality", US_national_yearly!$D:$AM, 28, FALSE) / VLOOKUP("electricity|SO2|Premature mortality", US_national_yearly!$D:$AM, 10, FALSE), 1)</f>
        <v>6.4928340890619564E-4</v>
      </c>
      <c r="U2" s="7">
        <f>$B2 * IFERROR(VLOOKUP("electricity|SO2|Premature mortality", US_national_yearly!$D:$AM, 29, FALSE) / VLOOKUP("electricity|SO2|Premature mortality", US_national_yearly!$D:$AM, 10, FALSE), 1)</f>
        <v>6.532018938572371E-4</v>
      </c>
      <c r="V2" s="7">
        <f>$B2 * IFERROR(VLOOKUP("electricity|SO2|Premature mortality", US_national_yearly!$D:$AM, 30, FALSE) / VLOOKUP("electricity|SO2|Premature mortality", US_national_yearly!$D:$AM, 10, FALSE), 1)</f>
        <v>6.5712037880827877E-4</v>
      </c>
      <c r="W2" s="7">
        <f>$B2 * IFERROR(VLOOKUP("electricity|SO2|Premature mortality", US_national_yearly!$D:$AM, 31, FALSE) / VLOOKUP("electricity|SO2|Premature mortality", US_national_yearly!$D:$AM, 10, FALSE), 1)</f>
        <v>6.6103886375932033E-4</v>
      </c>
      <c r="X2" s="7">
        <f>$B2 * IFERROR(VLOOKUP("electricity|SO2|Premature mortality", US_national_yearly!$D:$AM, 32, FALSE) / VLOOKUP("electricity|SO2|Premature mortality", US_national_yearly!$D:$AM, 10, FALSE), 1)</f>
        <v>6.6219342837667001E-4</v>
      </c>
      <c r="Y2" s="7">
        <f>$B2 * IFERROR(VLOOKUP("electricity|SO2|Premature mortality", US_national_yearly!$D:$AM, 33, FALSE) / VLOOKUP("electricity|SO2|Premature mortality", US_national_yearly!$D:$AM, 10, FALSE), 1)</f>
        <v>6.6334799299401959E-4</v>
      </c>
      <c r="Z2" s="7">
        <f>$B2 * IFERROR(VLOOKUP("electricity|SO2|Premature mortality", US_national_yearly!$D:$AM, 34, FALSE) / VLOOKUP("electricity|SO2|Premature mortality", US_national_yearly!$D:$AM, 10, FALSE), 1)</f>
        <v>6.6450255761136916E-4</v>
      </c>
      <c r="AA2" s="7">
        <f>$B2 * IFERROR(VLOOKUP("electricity|SO2|Premature mortality", US_national_yearly!$D:$AM, 35, FALSE) / VLOOKUP("electricity|SO2|Premature mortality", US_national_yearly!$D:$AM, 10, FALSE), 1)</f>
        <v>6.6565712222871874E-4</v>
      </c>
      <c r="AB2" s="7">
        <f>$B2 * IFERROR(VLOOKUP("electricity|SO2|Premature mortality", US_national_yearly!$D:$AM, 36, FALSE) / VLOOKUP("electricity|SO2|Premature mortality", US_national_yearly!$D:$AM, 10, FALSE), 1)</f>
        <v>6.6681168684606831E-4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1.2945316420621949E-6</v>
      </c>
      <c r="C3" s="7">
        <f>$B3 * IFERROR(VLOOKUP("electricity|SO2|Infant mortality", US_national_yearly!$D:$AM, 11, FALSE) / VLOOKUP("electricity|SO2|Infant mortality", US_national_yearly!$D:$AM, 10, FALSE), 1)</f>
        <v>1.2835953110643518E-6</v>
      </c>
      <c r="D3" s="7">
        <f>$B3 * IFERROR(VLOOKUP("electricity|SO2|Infant mortality", US_national_yearly!$D:$AM, 12, FALSE) / VLOOKUP("electricity|SO2|Infant mortality", US_national_yearly!$D:$AM, 10, FALSE), 1)</f>
        <v>1.2726589800665084E-6</v>
      </c>
      <c r="E3" s="7">
        <f>$B3 * IFERROR(VLOOKUP("electricity|SO2|Infant mortality", US_national_yearly!$D:$AM, 13, FALSE) / VLOOKUP("electricity|SO2|Infant mortality", US_national_yearly!$D:$AM, 10, FALSE), 1)</f>
        <v>1.2617226490686652E-6</v>
      </c>
      <c r="F3" s="7">
        <f>$B3 * IFERROR(VLOOKUP("electricity|SO2|Infant mortality", US_national_yearly!$D:$AM, 14, FALSE) / VLOOKUP("electricity|SO2|Infant mortality", US_national_yearly!$D:$AM, 10, FALSE), 1)</f>
        <v>1.2507863180708222E-6</v>
      </c>
      <c r="G3" s="7">
        <f>$B3 * IFERROR(VLOOKUP("electricity|SO2|Infant mortality", US_national_yearly!$D:$AM, 15, FALSE) / VLOOKUP("electricity|SO2|Infant mortality", US_national_yearly!$D:$AM, 10, FALSE), 1)</f>
        <v>8.3183769383282859E-7</v>
      </c>
      <c r="H3" s="7">
        <f>$B3 * IFERROR(VLOOKUP("electricity|SO2|Infant mortality", US_national_yearly!$D:$AM, 16, FALSE) / VLOOKUP("electricity|SO2|Infant mortality", US_national_yearly!$D:$AM, 10, FALSE), 1)</f>
        <v>4.1288906959483508E-7</v>
      </c>
      <c r="I3" s="7">
        <f>$B3 * IFERROR(VLOOKUP("electricity|SO2|Infant mortality", US_national_yearly!$D:$AM, 17, FALSE) / VLOOKUP("electricity|SO2|Infant mortality", US_national_yearly!$D:$AM, 10, FALSE), 1)</f>
        <v>4.1024761976581663E-7</v>
      </c>
      <c r="J3" s="7">
        <f>$B3 * IFERROR(VLOOKUP("electricity|SO2|Infant mortality", US_national_yearly!$D:$AM, 18, FALSE) / VLOOKUP("electricity|SO2|Infant mortality", US_national_yearly!$D:$AM, 10, FALSE), 1)</f>
        <v>4.0760616993679812E-7</v>
      </c>
      <c r="K3" s="7">
        <f>$B3 * IFERROR(VLOOKUP("electricity|SO2|Infant mortality", US_national_yearly!$D:$AM, 19, FALSE) / VLOOKUP("electricity|SO2|Infant mortality", US_national_yearly!$D:$AM, 10, FALSE), 1)</f>
        <v>4.0496472010777972E-7</v>
      </c>
      <c r="L3" s="7">
        <f>$B3 * IFERROR(VLOOKUP("electricity|SO2|Infant mortality", US_national_yearly!$D:$AM, 20, FALSE) / VLOOKUP("electricity|SO2|Infant mortality", US_national_yearly!$D:$AM, 10, FALSE), 1)</f>
        <v>4.0232327027876116E-7</v>
      </c>
      <c r="M3" s="7">
        <f>$B3 * IFERROR(VLOOKUP("electricity|SO2|Infant mortality", US_national_yearly!$D:$AM, 21, FALSE) / VLOOKUP("electricity|SO2|Infant mortality", US_national_yearly!$D:$AM, 10, FALSE), 1)</f>
        <v>3.9968182044974271E-7</v>
      </c>
      <c r="N3" s="7">
        <f>$B3 * IFERROR(VLOOKUP("electricity|SO2|Infant mortality", US_national_yearly!$D:$AM, 22, FALSE) / VLOOKUP("electricity|SO2|Infant mortality", US_national_yearly!$D:$AM, 10, FALSE), 1)</f>
        <v>3.9800808078743213E-7</v>
      </c>
      <c r="O3" s="7">
        <f>$B3 * IFERROR(VLOOKUP("electricity|SO2|Infant mortality", US_national_yearly!$D:$AM, 23, FALSE) / VLOOKUP("electricity|SO2|Infant mortality", US_national_yearly!$D:$AM, 10, FALSE), 1)</f>
        <v>3.9633434112512151E-7</v>
      </c>
      <c r="P3" s="7">
        <f>$B3 * IFERROR(VLOOKUP("electricity|SO2|Infant mortality", US_national_yearly!$D:$AM, 24, FALSE) / VLOOKUP("electricity|SO2|Infant mortality", US_national_yearly!$D:$AM, 10, FALSE), 1)</f>
        <v>3.9466060146281089E-7</v>
      </c>
      <c r="Q3" s="7">
        <f>$B3 * IFERROR(VLOOKUP("electricity|SO2|Infant mortality", US_national_yearly!$D:$AM, 25, FALSE) / VLOOKUP("electricity|SO2|Infant mortality", US_national_yearly!$D:$AM, 10, FALSE), 1)</f>
        <v>3.9298686180050031E-7</v>
      </c>
      <c r="R3" s="7">
        <f>$B3 * IFERROR(VLOOKUP("electricity|SO2|Infant mortality", US_national_yearly!$D:$AM, 26, FALSE) / VLOOKUP("electricity|SO2|Infant mortality", US_national_yearly!$D:$AM, 10, FALSE), 1)</f>
        <v>3.9131312213818974E-7</v>
      </c>
      <c r="S3" s="7">
        <f>$B3 * IFERROR(VLOOKUP("electricity|SO2|Infant mortality", US_national_yearly!$D:$AM, 27, FALSE) / VLOOKUP("electricity|SO2|Infant mortality", US_national_yearly!$D:$AM, 10, FALSE), 1)</f>
        <v>3.8922701773004026E-7</v>
      </c>
      <c r="T3" s="7">
        <f>$B3 * IFERROR(VLOOKUP("electricity|SO2|Infant mortality", US_national_yearly!$D:$AM, 28, FALSE) / VLOOKUP("electricity|SO2|Infant mortality", US_national_yearly!$D:$AM, 10, FALSE), 1)</f>
        <v>3.8714091332189082E-7</v>
      </c>
      <c r="U3" s="7">
        <f>$B3 * IFERROR(VLOOKUP("electricity|SO2|Infant mortality", US_national_yearly!$D:$AM, 29, FALSE) / VLOOKUP("electricity|SO2|Infant mortality", US_national_yearly!$D:$AM, 10, FALSE), 1)</f>
        <v>3.8505480891374139E-7</v>
      </c>
      <c r="V3" s="7">
        <f>$B3 * IFERROR(VLOOKUP("electricity|SO2|Infant mortality", US_national_yearly!$D:$AM, 30, FALSE) / VLOOKUP("electricity|SO2|Infant mortality", US_national_yearly!$D:$AM, 10, FALSE), 1)</f>
        <v>3.8296870450559196E-7</v>
      </c>
      <c r="W3" s="7">
        <f>$B3 * IFERROR(VLOOKUP("electricity|SO2|Infant mortality", US_national_yearly!$D:$AM, 31, FALSE) / VLOOKUP("electricity|SO2|Infant mortality", US_national_yearly!$D:$AM, 10, FALSE), 1)</f>
        <v>3.8088260009744247E-7</v>
      </c>
      <c r="X3" s="7">
        <f>$B3 * IFERROR(VLOOKUP("electricity|SO2|Infant mortality", US_national_yearly!$D:$AM, 32, FALSE) / VLOOKUP("electricity|SO2|Infant mortality", US_national_yearly!$D:$AM, 10, FALSE), 1)</f>
        <v>3.786567877832552E-7</v>
      </c>
      <c r="Y3" s="7">
        <f>$B3 * IFERROR(VLOOKUP("electricity|SO2|Infant mortality", US_national_yearly!$D:$AM, 33, FALSE) / VLOOKUP("electricity|SO2|Infant mortality", US_national_yearly!$D:$AM, 10, FALSE), 1)</f>
        <v>3.7643097546906777E-7</v>
      </c>
      <c r="Z3" s="7">
        <f>$B3 * IFERROR(VLOOKUP("electricity|SO2|Infant mortality", US_national_yearly!$D:$AM, 34, FALSE) / VLOOKUP("electricity|SO2|Infant mortality", US_national_yearly!$D:$AM, 10, FALSE), 1)</f>
        <v>3.7420516315488044E-7</v>
      </c>
      <c r="AA3" s="7">
        <f>$B3 * IFERROR(VLOOKUP("electricity|SO2|Infant mortality", US_national_yearly!$D:$AM, 35, FALSE) / VLOOKUP("electricity|SO2|Infant mortality", US_national_yearly!$D:$AM, 10, FALSE), 1)</f>
        <v>3.7197935084069317E-7</v>
      </c>
      <c r="AB3" s="7">
        <f>$B3 * IFERROR(VLOOKUP("electricity|SO2|Infant mortality", US_national_yearly!$D:$AM, 36, FALSE) / VLOOKUP("electricity|SO2|Infant mortality", US_national_yearly!$D:$AM, 10, FALSE), 1)</f>
        <v>3.6975353852650579E-7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1.1241898706731142E-3</v>
      </c>
      <c r="C6" s="7">
        <f>$B6 * IFERROR(VLOOKUP("electricity|SO2|Asthma symptoms cough", US_national_yearly!$D:$AM, 11, FALSE) / VLOOKUP("electricity|SO2|Asthma symptoms cough", US_national_yearly!$D:$AM, 10, FALSE), 1)</f>
        <v>1.1241898706731142E-3</v>
      </c>
      <c r="D6" s="7">
        <f>$B6 * IFERROR(VLOOKUP("electricity|SO2|Asthma symptoms cough", US_national_yearly!$D:$AM, 12, FALSE) / VLOOKUP("electricity|SO2|Asthma symptoms cough", US_national_yearly!$D:$AM, 10, FALSE), 1)</f>
        <v>1.1241898706731142E-3</v>
      </c>
      <c r="E6" s="7">
        <f>$B6 * IFERROR(VLOOKUP("electricity|SO2|Asthma symptoms cough", US_national_yearly!$D:$AM, 13, FALSE) / VLOOKUP("electricity|SO2|Asthma symptoms cough", US_national_yearly!$D:$AM, 10, FALSE), 1)</f>
        <v>1.1241898706731142E-3</v>
      </c>
      <c r="F6" s="7">
        <f>$B6 * IFERROR(VLOOKUP("electricity|SO2|Asthma symptoms cough", US_national_yearly!$D:$AM, 14, FALSE) / VLOOKUP("electricity|SO2|Asthma symptoms cough", US_national_yearly!$D:$AM, 10, FALSE), 1)</f>
        <v>1.1241898706731142E-3</v>
      </c>
      <c r="G6" s="7">
        <f>$B6 * IFERROR(VLOOKUP("electricity|SO2|Asthma symptoms cough", US_national_yearly!$D:$AM, 15, FALSE) / VLOOKUP("electricity|SO2|Asthma symptoms cough", US_national_yearly!$D:$AM, 10, FALSE), 1)</f>
        <v>1.1241898706731142E-3</v>
      </c>
      <c r="H6" s="7">
        <f>$B6 * IFERROR(VLOOKUP("electricity|SO2|Asthma symptoms cough", US_national_yearly!$D:$AM, 16, FALSE) / VLOOKUP("electricity|SO2|Asthma symptoms cough", US_national_yearly!$D:$AM, 10, FALSE), 1)</f>
        <v>1.1241898706731142E-3</v>
      </c>
      <c r="I6" s="7">
        <f>$B6 * IFERROR(VLOOKUP("electricity|SO2|Asthma symptoms cough", US_national_yearly!$D:$AM, 17, FALSE) / VLOOKUP("electricity|SO2|Asthma symptoms cough", US_national_yearly!$D:$AM, 10, FALSE), 1)</f>
        <v>1.1241898706731142E-3</v>
      </c>
      <c r="J6" s="7">
        <f>$B6 * IFERROR(VLOOKUP("electricity|SO2|Asthma symptoms cough", US_national_yearly!$D:$AM, 18, FALSE) / VLOOKUP("electricity|SO2|Asthma symptoms cough", US_national_yearly!$D:$AM, 10, FALSE), 1)</f>
        <v>1.1241898706731142E-3</v>
      </c>
      <c r="K6" s="7">
        <f>$B6 * IFERROR(VLOOKUP("electricity|SO2|Asthma symptoms cough", US_national_yearly!$D:$AM, 19, FALSE) / VLOOKUP("electricity|SO2|Asthma symptoms cough", US_national_yearly!$D:$AM, 10, FALSE), 1)</f>
        <v>1.1241898706731142E-3</v>
      </c>
      <c r="L6" s="7">
        <f>$B6 * IFERROR(VLOOKUP("electricity|SO2|Asthma symptoms cough", US_national_yearly!$D:$AM, 20, FALSE) / VLOOKUP("electricity|SO2|Asthma symptoms cough", US_national_yearly!$D:$AM, 10, FALSE), 1)</f>
        <v>1.1241898706731142E-3</v>
      </c>
      <c r="M6" s="7">
        <f>$B6 * IFERROR(VLOOKUP("electricity|SO2|Asthma symptoms cough", US_national_yearly!$D:$AM, 21, FALSE) / VLOOKUP("electricity|SO2|Asthma symptoms cough", US_national_yearly!$D:$AM, 10, FALSE), 1)</f>
        <v>1.1241898706731142E-3</v>
      </c>
      <c r="N6" s="7">
        <f>$B6 * IFERROR(VLOOKUP("electricity|SO2|Asthma symptoms cough", US_national_yearly!$D:$AM, 22, FALSE) / VLOOKUP("electricity|SO2|Asthma symptoms cough", US_national_yearly!$D:$AM, 10, FALSE), 1)</f>
        <v>1.1241898706731142E-3</v>
      </c>
      <c r="O6" s="7">
        <f>$B6 * IFERROR(VLOOKUP("electricity|SO2|Asthma symptoms cough", US_national_yearly!$D:$AM, 23, FALSE) / VLOOKUP("electricity|SO2|Asthma symptoms cough", US_national_yearly!$D:$AM, 10, FALSE), 1)</f>
        <v>1.1241898706731142E-3</v>
      </c>
      <c r="P6" s="7">
        <f>$B6 * IFERROR(VLOOKUP("electricity|SO2|Asthma symptoms cough", US_national_yearly!$D:$AM, 24, FALSE) / VLOOKUP("electricity|SO2|Asthma symptoms cough", US_national_yearly!$D:$AM, 10, FALSE), 1)</f>
        <v>1.1241898706731142E-3</v>
      </c>
      <c r="Q6" s="7">
        <f>$B6 * IFERROR(VLOOKUP("electricity|SO2|Asthma symptoms cough", US_national_yearly!$D:$AM, 25, FALSE) / VLOOKUP("electricity|SO2|Asthma symptoms cough", US_national_yearly!$D:$AM, 10, FALSE), 1)</f>
        <v>1.1241898706731142E-3</v>
      </c>
      <c r="R6" s="7">
        <f>$B6 * IFERROR(VLOOKUP("electricity|SO2|Asthma symptoms cough", US_national_yearly!$D:$AM, 26, FALSE) / VLOOKUP("electricity|SO2|Asthma symptoms cough", US_national_yearly!$D:$AM, 10, FALSE), 1)</f>
        <v>1.1241898706731142E-3</v>
      </c>
      <c r="S6" s="7">
        <f>$B6 * IFERROR(VLOOKUP("electricity|SO2|Asthma symptoms cough", US_national_yearly!$D:$AM, 27, FALSE) / VLOOKUP("electricity|SO2|Asthma symptoms cough", US_national_yearly!$D:$AM, 10, FALSE), 1)</f>
        <v>1.1241898706731142E-3</v>
      </c>
      <c r="T6" s="7">
        <f>$B6 * IFERROR(VLOOKUP("electricity|SO2|Asthma symptoms cough", US_national_yearly!$D:$AM, 28, FALSE) / VLOOKUP("electricity|SO2|Asthma symptoms cough", US_national_yearly!$D:$AM, 10, FALSE), 1)</f>
        <v>1.1241898706731142E-3</v>
      </c>
      <c r="U6" s="7">
        <f>$B6 * IFERROR(VLOOKUP("electricity|SO2|Asthma symptoms cough", US_national_yearly!$D:$AM, 29, FALSE) / VLOOKUP("electricity|SO2|Asthma symptoms cough", US_national_yearly!$D:$AM, 10, FALSE), 1)</f>
        <v>1.1241898706731142E-3</v>
      </c>
      <c r="V6" s="7">
        <f>$B6 * IFERROR(VLOOKUP("electricity|SO2|Asthma symptoms cough", US_national_yearly!$D:$AM, 30, FALSE) / VLOOKUP("electricity|SO2|Asthma symptoms cough", US_national_yearly!$D:$AM, 10, FALSE), 1)</f>
        <v>1.1241898706731142E-3</v>
      </c>
      <c r="W6" s="7">
        <f>$B6 * IFERROR(VLOOKUP("electricity|SO2|Asthma symptoms cough", US_national_yearly!$D:$AM, 31, FALSE) / VLOOKUP("electricity|SO2|Asthma symptoms cough", US_national_yearly!$D:$AM, 10, FALSE), 1)</f>
        <v>1.1241898706731142E-3</v>
      </c>
      <c r="X6" s="7">
        <f>$B6 * IFERROR(VLOOKUP("electricity|SO2|Asthma symptoms cough", US_national_yearly!$D:$AM, 32, FALSE) / VLOOKUP("electricity|SO2|Asthma symptoms cough", US_national_yearly!$D:$AM, 10, FALSE), 1)</f>
        <v>1.1241898706731142E-3</v>
      </c>
      <c r="Y6" s="7">
        <f>$B6 * IFERROR(VLOOKUP("electricity|SO2|Asthma symptoms cough", US_national_yearly!$D:$AM, 33, FALSE) / VLOOKUP("electricity|SO2|Asthma symptoms cough", US_national_yearly!$D:$AM, 10, FALSE), 1)</f>
        <v>1.1241898706731142E-3</v>
      </c>
      <c r="Z6" s="7">
        <f>$B6 * IFERROR(VLOOKUP("electricity|SO2|Asthma symptoms cough", US_national_yearly!$D:$AM, 34, FALSE) / VLOOKUP("electricity|SO2|Asthma symptoms cough", US_national_yearly!$D:$AM, 10, FALSE), 1)</f>
        <v>1.1241898706731142E-3</v>
      </c>
      <c r="AA6" s="7">
        <f>$B6 * IFERROR(VLOOKUP("electricity|SO2|Asthma symptoms cough", US_national_yearly!$D:$AM, 35, FALSE) / VLOOKUP("electricity|SO2|Asthma symptoms cough", US_national_yearly!$D:$AM, 10, FALSE), 1)</f>
        <v>1.1241898706731142E-3</v>
      </c>
      <c r="AB6" s="7">
        <f>$B6 * IFERROR(VLOOKUP("electricity|SO2|Asthma symptoms cough", US_national_yearly!$D:$AM, 36, FALSE) / VLOOKUP("electricity|SO2|Asthma symptoms cough", US_national_yearly!$D:$AM, 10, FALSE), 1)</f>
        <v>1.1241898706731142E-3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1.5138840189738653E-3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1.5138840189738653E-3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1.5138840189738653E-3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1.5138840189738653E-3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1.5138840189738653E-3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1.5138840189738653E-3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1.5138840189738653E-3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1.5138840189738653E-3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1.5138840189738653E-3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1.5138840189738653E-3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1.5138840189738653E-3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1.5138840189738653E-3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1.5138840189738653E-3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1.5138840189738653E-3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1.5138840189738653E-3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1.5138840189738653E-3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1.5138840189738653E-3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1.5138840189738653E-3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1.5138840189738653E-3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1.5138840189738653E-3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1.5138840189738653E-3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1.5138840189738653E-3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1.5138840189738653E-3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1.5138840189738653E-3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1.5138840189738653E-3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1.5138840189738653E-3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1.5138840189738653E-3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2.3129609513583851E-3</v>
      </c>
      <c r="C8" s="7">
        <f>$B8 * IFERROR(VLOOKUP("electricity|SO2|Asthma symptoms wheeze", US_national_yearly!$D:$AM, 11, FALSE) / VLOOKUP("electricity|SO2|Asthma symptoms wheeze", US_national_yearly!$D:$AM, 10, FALSE), 1)</f>
        <v>2.3129609513583851E-3</v>
      </c>
      <c r="D8" s="7">
        <f>$B8 * IFERROR(VLOOKUP("electricity|SO2|Asthma symptoms wheeze", US_national_yearly!$D:$AM, 12, FALSE) / VLOOKUP("electricity|SO2|Asthma symptoms wheeze", US_national_yearly!$D:$AM, 10, FALSE), 1)</f>
        <v>2.3129609513583851E-3</v>
      </c>
      <c r="E8" s="7">
        <f>$B8 * IFERROR(VLOOKUP("electricity|SO2|Asthma symptoms wheeze", US_national_yearly!$D:$AM, 13, FALSE) / VLOOKUP("electricity|SO2|Asthma symptoms wheeze", US_national_yearly!$D:$AM, 10, FALSE), 1)</f>
        <v>2.3129609513583851E-3</v>
      </c>
      <c r="F8" s="7">
        <f>$B8 * IFERROR(VLOOKUP("electricity|SO2|Asthma symptoms wheeze", US_national_yearly!$D:$AM, 14, FALSE) / VLOOKUP("electricity|SO2|Asthma symptoms wheeze", US_national_yearly!$D:$AM, 10, FALSE), 1)</f>
        <v>2.3129609513583851E-3</v>
      </c>
      <c r="G8" s="7">
        <f>$B8 * IFERROR(VLOOKUP("electricity|SO2|Asthma symptoms wheeze", US_national_yearly!$D:$AM, 15, FALSE) / VLOOKUP("electricity|SO2|Asthma symptoms wheeze", US_national_yearly!$D:$AM, 10, FALSE), 1)</f>
        <v>2.3129609513583851E-3</v>
      </c>
      <c r="H8" s="7">
        <f>$B8 * IFERROR(VLOOKUP("electricity|SO2|Asthma symptoms wheeze", US_national_yearly!$D:$AM, 16, FALSE) / VLOOKUP("electricity|SO2|Asthma symptoms wheeze", US_national_yearly!$D:$AM, 10, FALSE), 1)</f>
        <v>2.3129609513583851E-3</v>
      </c>
      <c r="I8" s="7">
        <f>$B8 * IFERROR(VLOOKUP("electricity|SO2|Asthma symptoms wheeze", US_national_yearly!$D:$AM, 17, FALSE) / VLOOKUP("electricity|SO2|Asthma symptoms wheeze", US_national_yearly!$D:$AM, 10, FALSE), 1)</f>
        <v>2.3129609513583851E-3</v>
      </c>
      <c r="J8" s="7">
        <f>$B8 * IFERROR(VLOOKUP("electricity|SO2|Asthma symptoms wheeze", US_national_yearly!$D:$AM, 18, FALSE) / VLOOKUP("electricity|SO2|Asthma symptoms wheeze", US_national_yearly!$D:$AM, 10, FALSE), 1)</f>
        <v>2.3129609513583851E-3</v>
      </c>
      <c r="K8" s="7">
        <f>$B8 * IFERROR(VLOOKUP("electricity|SO2|Asthma symptoms wheeze", US_national_yearly!$D:$AM, 19, FALSE) / VLOOKUP("electricity|SO2|Asthma symptoms wheeze", US_national_yearly!$D:$AM, 10, FALSE), 1)</f>
        <v>2.3129609513583851E-3</v>
      </c>
      <c r="L8" s="7">
        <f>$B8 * IFERROR(VLOOKUP("electricity|SO2|Asthma symptoms wheeze", US_national_yearly!$D:$AM, 20, FALSE) / VLOOKUP("electricity|SO2|Asthma symptoms wheeze", US_national_yearly!$D:$AM, 10, FALSE), 1)</f>
        <v>2.3129609513583851E-3</v>
      </c>
      <c r="M8" s="7">
        <f>$B8 * IFERROR(VLOOKUP("electricity|SO2|Asthma symptoms wheeze", US_national_yearly!$D:$AM, 21, FALSE) / VLOOKUP("electricity|SO2|Asthma symptoms wheeze", US_national_yearly!$D:$AM, 10, FALSE), 1)</f>
        <v>2.3129609513583851E-3</v>
      </c>
      <c r="N8" s="7">
        <f>$B8 * IFERROR(VLOOKUP("electricity|SO2|Asthma symptoms wheeze", US_national_yearly!$D:$AM, 22, FALSE) / VLOOKUP("electricity|SO2|Asthma symptoms wheeze", US_national_yearly!$D:$AM, 10, FALSE), 1)</f>
        <v>2.3129609513583851E-3</v>
      </c>
      <c r="O8" s="7">
        <f>$B8 * IFERROR(VLOOKUP("electricity|SO2|Asthma symptoms wheeze", US_national_yearly!$D:$AM, 23, FALSE) / VLOOKUP("electricity|SO2|Asthma symptoms wheeze", US_national_yearly!$D:$AM, 10, FALSE), 1)</f>
        <v>2.3129609513583851E-3</v>
      </c>
      <c r="P8" s="7">
        <f>$B8 * IFERROR(VLOOKUP("electricity|SO2|Asthma symptoms wheeze", US_national_yearly!$D:$AM, 24, FALSE) / VLOOKUP("electricity|SO2|Asthma symptoms wheeze", US_national_yearly!$D:$AM, 10, FALSE), 1)</f>
        <v>2.3129609513583851E-3</v>
      </c>
      <c r="Q8" s="7">
        <f>$B8 * IFERROR(VLOOKUP("electricity|SO2|Asthma symptoms wheeze", US_national_yearly!$D:$AM, 25, FALSE) / VLOOKUP("electricity|SO2|Asthma symptoms wheeze", US_national_yearly!$D:$AM, 10, FALSE), 1)</f>
        <v>2.3129609513583851E-3</v>
      </c>
      <c r="R8" s="7">
        <f>$B8 * IFERROR(VLOOKUP("electricity|SO2|Asthma symptoms wheeze", US_national_yearly!$D:$AM, 26, FALSE) / VLOOKUP("electricity|SO2|Asthma symptoms wheeze", US_national_yearly!$D:$AM, 10, FALSE), 1)</f>
        <v>2.3129609513583851E-3</v>
      </c>
      <c r="S8" s="7">
        <f>$B8 * IFERROR(VLOOKUP("electricity|SO2|Asthma symptoms wheeze", US_national_yearly!$D:$AM, 27, FALSE) / VLOOKUP("electricity|SO2|Asthma symptoms wheeze", US_national_yearly!$D:$AM, 10, FALSE), 1)</f>
        <v>2.3129609513583851E-3</v>
      </c>
      <c r="T8" s="7">
        <f>$B8 * IFERROR(VLOOKUP("electricity|SO2|Asthma symptoms wheeze", US_national_yearly!$D:$AM, 28, FALSE) / VLOOKUP("electricity|SO2|Asthma symptoms wheeze", US_national_yearly!$D:$AM, 10, FALSE), 1)</f>
        <v>2.3129609513583851E-3</v>
      </c>
      <c r="U8" s="7">
        <f>$B8 * IFERROR(VLOOKUP("electricity|SO2|Asthma symptoms wheeze", US_national_yearly!$D:$AM, 29, FALSE) / VLOOKUP("electricity|SO2|Asthma symptoms wheeze", US_national_yearly!$D:$AM, 10, FALSE), 1)</f>
        <v>2.3129609513583851E-3</v>
      </c>
      <c r="V8" s="7">
        <f>$B8 * IFERROR(VLOOKUP("electricity|SO2|Asthma symptoms wheeze", US_national_yearly!$D:$AM, 30, FALSE) / VLOOKUP("electricity|SO2|Asthma symptoms wheeze", US_national_yearly!$D:$AM, 10, FALSE), 1)</f>
        <v>2.3129609513583851E-3</v>
      </c>
      <c r="W8" s="7">
        <f>$B8 * IFERROR(VLOOKUP("electricity|SO2|Asthma symptoms wheeze", US_national_yearly!$D:$AM, 31, FALSE) / VLOOKUP("electricity|SO2|Asthma symptoms wheeze", US_national_yearly!$D:$AM, 10, FALSE), 1)</f>
        <v>2.3129609513583851E-3</v>
      </c>
      <c r="X8" s="7">
        <f>$B8 * IFERROR(VLOOKUP("electricity|SO2|Asthma symptoms wheeze", US_national_yearly!$D:$AM, 32, FALSE) / VLOOKUP("electricity|SO2|Asthma symptoms wheeze", US_national_yearly!$D:$AM, 10, FALSE), 1)</f>
        <v>2.3129609513583851E-3</v>
      </c>
      <c r="Y8" s="7">
        <f>$B8 * IFERROR(VLOOKUP("electricity|SO2|Asthma symptoms wheeze", US_national_yearly!$D:$AM, 33, FALSE) / VLOOKUP("electricity|SO2|Asthma symptoms wheeze", US_national_yearly!$D:$AM, 10, FALSE), 1)</f>
        <v>2.3129609513583851E-3</v>
      </c>
      <c r="Z8" s="7">
        <f>$B8 * IFERROR(VLOOKUP("electricity|SO2|Asthma symptoms wheeze", US_national_yearly!$D:$AM, 34, FALSE) / VLOOKUP("electricity|SO2|Asthma symptoms wheeze", US_national_yearly!$D:$AM, 10, FALSE), 1)</f>
        <v>2.3129609513583851E-3</v>
      </c>
      <c r="AA8" s="7">
        <f>$B8 * IFERROR(VLOOKUP("electricity|SO2|Asthma symptoms wheeze", US_national_yearly!$D:$AM, 35, FALSE) / VLOOKUP("electricity|SO2|Asthma symptoms wheeze", US_national_yearly!$D:$AM, 10, FALSE), 1)</f>
        <v>2.3129609513583851E-3</v>
      </c>
      <c r="AB8" s="7">
        <f>$B8 * IFERROR(VLOOKUP("electricity|SO2|Asthma symptoms wheeze", US_national_yearly!$D:$AM, 36, FALSE) / VLOOKUP("electricity|SO2|Asthma symptoms wheeze", US_national_yearly!$D:$AM, 10, FALSE), 1)</f>
        <v>2.3129609513583851E-3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3.0153881769421193E-5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3.0331477003767124E-5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3.0509072238113063E-5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3.0686667472458995E-5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3.0864262706804933E-5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3.1057787445742988E-5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3.1251312184681049E-5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3.1437485811751522E-5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3.1623659438822001E-5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3.180983306589248E-5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3.1996006692962953E-5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3.2182180320033432E-5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3.2315715290650561E-5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3.244925026126769E-5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3.2582785231884819E-5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3.2716320202501947E-5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3.2849855173119076E-5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3.2975892529145204E-5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3.3101929885171339E-5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3.3227967241197467E-5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3.3354004597223602E-5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3.3480041953249737E-5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3.3600952984441045E-5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3.3721864015632374E-5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3.3842775046823696E-5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3.3963686078015011E-5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3.4084597109206339E-5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1.964573230768568E-4</v>
      </c>
      <c r="C13" s="7">
        <f>$B13 * IFERROR(VLOOKUP("electricity|SO2|Non-fatal heart attacks", US_national_yearly!$D:$AM, 11, FALSE) / VLOOKUP("electricity|SO2|Non-fatal heart attacks", US_national_yearly!$D:$AM, 10, FALSE), 1)</f>
        <v>2.0224408541393509E-4</v>
      </c>
      <c r="D13" s="7">
        <f>$B13 * IFERROR(VLOOKUP("electricity|SO2|Non-fatal heart attacks", US_national_yearly!$D:$AM, 12, FALSE) / VLOOKUP("electricity|SO2|Non-fatal heart attacks", US_national_yearly!$D:$AM, 10, FALSE), 1)</f>
        <v>2.0803084775101332E-4</v>
      </c>
      <c r="E13" s="7">
        <f>$B13 * IFERROR(VLOOKUP("electricity|SO2|Non-fatal heart attacks", US_national_yearly!$D:$AM, 13, FALSE) / VLOOKUP("electricity|SO2|Non-fatal heart attacks", US_national_yearly!$D:$AM, 10, FALSE), 1)</f>
        <v>2.1381761008809161E-4</v>
      </c>
      <c r="F13" s="7">
        <f>$B13 * IFERROR(VLOOKUP("electricity|SO2|Non-fatal heart attacks", US_national_yearly!$D:$AM, 14, FALSE) / VLOOKUP("electricity|SO2|Non-fatal heart attacks", US_national_yearly!$D:$AM, 10, FALSE), 1)</f>
        <v>2.1960437242516987E-4</v>
      </c>
      <c r="G13" s="7">
        <f>$B13 * IFERROR(VLOOKUP("electricity|SO2|Non-fatal heart attacks", US_national_yearly!$D:$AM, 15, FALSE) / VLOOKUP("electricity|SO2|Non-fatal heart attacks", US_national_yearly!$D:$AM, 10, FALSE), 1)</f>
        <v>2.2509618350365605E-4</v>
      </c>
      <c r="H13" s="7">
        <f>$B13 * IFERROR(VLOOKUP("electricity|SO2|Non-fatal heart attacks", US_national_yearly!$D:$AM, 16, FALSE) / VLOOKUP("electricity|SO2|Non-fatal heart attacks", US_national_yearly!$D:$AM, 10, FALSE), 1)</f>
        <v>2.3058799458214226E-4</v>
      </c>
      <c r="I13" s="7">
        <f>$B13 * IFERROR(VLOOKUP("electricity|SO2|Non-fatal heart attacks", US_national_yearly!$D:$AM, 17, FALSE) / VLOOKUP("electricity|SO2|Non-fatal heart attacks", US_national_yearly!$D:$AM, 10, FALSE), 1)</f>
        <v>2.3506044610314028E-4</v>
      </c>
      <c r="J13" s="7">
        <f>$B13 * IFERROR(VLOOKUP("electricity|SO2|Non-fatal heart attacks", US_national_yearly!$D:$AM, 18, FALSE) / VLOOKUP("electricity|SO2|Non-fatal heart attacks", US_national_yearly!$D:$AM, 10, FALSE), 1)</f>
        <v>2.3953289762413828E-4</v>
      </c>
      <c r="K13" s="7">
        <f>$B13 * IFERROR(VLOOKUP("electricity|SO2|Non-fatal heart attacks", US_national_yearly!$D:$AM, 19, FALSE) / VLOOKUP("electricity|SO2|Non-fatal heart attacks", US_national_yearly!$D:$AM, 10, FALSE), 1)</f>
        <v>2.440053491451363E-4</v>
      </c>
      <c r="L13" s="7">
        <f>$B13 * IFERROR(VLOOKUP("electricity|SO2|Non-fatal heart attacks", US_national_yearly!$D:$AM, 20, FALSE) / VLOOKUP("electricity|SO2|Non-fatal heart attacks", US_national_yearly!$D:$AM, 10, FALSE), 1)</f>
        <v>2.4847780066613429E-4</v>
      </c>
      <c r="M13" s="7">
        <f>$B13 * IFERROR(VLOOKUP("electricity|SO2|Non-fatal heart attacks", US_national_yearly!$D:$AM, 21, FALSE) / VLOOKUP("electricity|SO2|Non-fatal heart attacks", US_national_yearly!$D:$AM, 10, FALSE), 1)</f>
        <v>2.5295025218713234E-4</v>
      </c>
      <c r="N13" s="7">
        <f>$B13 * IFERROR(VLOOKUP("electricity|SO2|Non-fatal heart attacks", US_national_yearly!$D:$AM, 22, FALSE) / VLOOKUP("electricity|SO2|Non-fatal heart attacks", US_national_yearly!$D:$AM, 10, FALSE), 1)</f>
        <v>2.5589962340916085E-4</v>
      </c>
      <c r="O13" s="7">
        <f>$B13 * IFERROR(VLOOKUP("electricity|SO2|Non-fatal heart attacks", US_national_yearly!$D:$AM, 23, FALSE) / VLOOKUP("electricity|SO2|Non-fatal heart attacks", US_national_yearly!$D:$AM, 10, FALSE), 1)</f>
        <v>2.5884899463118937E-4</v>
      </c>
      <c r="P13" s="7">
        <f>$B13 * IFERROR(VLOOKUP("electricity|SO2|Non-fatal heart attacks", US_national_yearly!$D:$AM, 24, FALSE) / VLOOKUP("electricity|SO2|Non-fatal heart attacks", US_national_yearly!$D:$AM, 10, FALSE), 1)</f>
        <v>2.6179836585321794E-4</v>
      </c>
      <c r="Q13" s="7">
        <f>$B13 * IFERROR(VLOOKUP("electricity|SO2|Non-fatal heart attacks", US_national_yearly!$D:$AM, 25, FALSE) / VLOOKUP("electricity|SO2|Non-fatal heart attacks", US_national_yearly!$D:$AM, 10, FALSE), 1)</f>
        <v>2.647477370752465E-4</v>
      </c>
      <c r="R13" s="7">
        <f>$B13 * IFERROR(VLOOKUP("electricity|SO2|Non-fatal heart attacks", US_national_yearly!$D:$AM, 26, FALSE) / VLOOKUP("electricity|SO2|Non-fatal heart attacks", US_national_yearly!$D:$AM, 10, FALSE), 1)</f>
        <v>2.6769710829727502E-4</v>
      </c>
      <c r="S13" s="7">
        <f>$B13 * IFERROR(VLOOKUP("electricity|SO2|Non-fatal heart attacks", US_national_yearly!$D:$AM, 27, FALSE) / VLOOKUP("electricity|SO2|Non-fatal heart attacks", US_national_yearly!$D:$AM, 10, FALSE), 1)</f>
        <v>2.6930208593004202E-4</v>
      </c>
      <c r="T13" s="7">
        <f>$B13 * IFERROR(VLOOKUP("electricity|SO2|Non-fatal heart attacks", US_national_yearly!$D:$AM, 28, FALSE) / VLOOKUP("electricity|SO2|Non-fatal heart attacks", US_national_yearly!$D:$AM, 10, FALSE), 1)</f>
        <v>2.7090706356280907E-4</v>
      </c>
      <c r="U13" s="7">
        <f>$B13 * IFERROR(VLOOKUP("electricity|SO2|Non-fatal heart attacks", US_national_yearly!$D:$AM, 29, FALSE) / VLOOKUP("electricity|SO2|Non-fatal heart attacks", US_national_yearly!$D:$AM, 10, FALSE), 1)</f>
        <v>2.7251204119557612E-4</v>
      </c>
      <c r="V13" s="7">
        <f>$B13 * IFERROR(VLOOKUP("electricity|SO2|Non-fatal heart attacks", US_national_yearly!$D:$AM, 30, FALSE) / VLOOKUP("electricity|SO2|Non-fatal heart attacks", US_national_yearly!$D:$AM, 10, FALSE), 1)</f>
        <v>2.7411701882834306E-4</v>
      </c>
      <c r="W13" s="7">
        <f>$B13 * IFERROR(VLOOKUP("electricity|SO2|Non-fatal heart attacks", US_national_yearly!$D:$AM, 31, FALSE) / VLOOKUP("electricity|SO2|Non-fatal heart attacks", US_national_yearly!$D:$AM, 10, FALSE), 1)</f>
        <v>2.7572199646111012E-4</v>
      </c>
      <c r="X13" s="7">
        <f>$B13 * IFERROR(VLOOKUP("electricity|SO2|Non-fatal heart attacks", US_national_yearly!$D:$AM, 32, FALSE) / VLOOKUP("electricity|SO2|Non-fatal heart attacks", US_national_yearly!$D:$AM, 10, FALSE), 1)</f>
        <v>2.7695488722754132E-4</v>
      </c>
      <c r="Y13" s="7">
        <f>$B13 * IFERROR(VLOOKUP("electricity|SO2|Non-fatal heart attacks", US_national_yearly!$D:$AM, 33, FALSE) / VLOOKUP("electricity|SO2|Non-fatal heart attacks", US_national_yearly!$D:$AM, 10, FALSE), 1)</f>
        <v>2.7818777799397257E-4</v>
      </c>
      <c r="Z13" s="7">
        <f>$B13 * IFERROR(VLOOKUP("electricity|SO2|Non-fatal heart attacks", US_national_yearly!$D:$AM, 34, FALSE) / VLOOKUP("electricity|SO2|Non-fatal heart attacks", US_national_yearly!$D:$AM, 10, FALSE), 1)</f>
        <v>2.7942066876040372E-4</v>
      </c>
      <c r="AA13" s="7">
        <f>$B13 * IFERROR(VLOOKUP("electricity|SO2|Non-fatal heart attacks", US_national_yearly!$D:$AM, 35, FALSE) / VLOOKUP("electricity|SO2|Non-fatal heart attacks", US_national_yearly!$D:$AM, 10, FALSE), 1)</f>
        <v>2.8065355952683492E-4</v>
      </c>
      <c r="AB13" s="7">
        <f>$B13 * IFERROR(VLOOKUP("electricity|SO2|Non-fatal heart attacks", US_national_yearly!$D:$AM, 36, FALSE) / VLOOKUP("electricity|SO2|Non-fatal heart attacks", US_national_yearly!$D:$AM, 10, FALSE), 1)</f>
        <v>2.8188645029326618E-4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0.1422025428701448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0.14255989105776867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0.14291723924539254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0.14327458743301644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0.14363193562064028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0.1441482264954134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0.14466451737018651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0.14554999597026905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0.14643547457035158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0.14732095317043409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0.14820643177051668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0.14909191037059918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0.15031134230803311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0.15153077424546701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0.15275020618290092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0.15396963812033487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0.15518907005776877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0.15643918004757318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0.15768929003737758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0.15893940002718196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0.16018951001698639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0.1614396200067908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0.16253957978896302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0.16363953957113522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0.16473949935330745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0.16583945913547968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0.16693941891765188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2.4043499964466853E-2</v>
      </c>
      <c r="C15" s="7">
        <f>$B15 * IFERROR(VLOOKUP("electricity|SO2|Work loss days", US_national_yearly!$D:$AM, 11, FALSE) / VLOOKUP("electricity|SO2|Work loss days", US_national_yearly!$D:$AM, 10, FALSE), 1)</f>
        <v>2.4121353544503503E-2</v>
      </c>
      <c r="D15" s="7">
        <f>$B15 * IFERROR(VLOOKUP("electricity|SO2|Work loss days", US_national_yearly!$D:$AM, 12, FALSE) / VLOOKUP("electricity|SO2|Work loss days", US_national_yearly!$D:$AM, 10, FALSE), 1)</f>
        <v>2.4199207124540153E-2</v>
      </c>
      <c r="E15" s="7">
        <f>$B15 * IFERROR(VLOOKUP("electricity|SO2|Work loss days", US_national_yearly!$D:$AM, 13, FALSE) / VLOOKUP("electricity|SO2|Work loss days", US_national_yearly!$D:$AM, 10, FALSE), 1)</f>
        <v>2.4277060704576806E-2</v>
      </c>
      <c r="F15" s="7">
        <f>$B15 * IFERROR(VLOOKUP("electricity|SO2|Work loss days", US_national_yearly!$D:$AM, 14, FALSE) / VLOOKUP("electricity|SO2|Work loss days", US_national_yearly!$D:$AM, 10, FALSE), 1)</f>
        <v>2.4354914284613456E-2</v>
      </c>
      <c r="G15" s="7">
        <f>$B15 * IFERROR(VLOOKUP("electricity|SO2|Work loss days", US_national_yearly!$D:$AM, 15, FALSE) / VLOOKUP("electricity|SO2|Work loss days", US_national_yearly!$D:$AM, 10, FALSE), 1)</f>
        <v>2.4454649544755628E-2</v>
      </c>
      <c r="H15" s="7">
        <f>$B15 * IFERROR(VLOOKUP("electricity|SO2|Work loss days", US_national_yearly!$D:$AM, 16, FALSE) / VLOOKUP("electricity|SO2|Work loss days", US_national_yearly!$D:$AM, 10, FALSE), 1)</f>
        <v>2.4554384804897796E-2</v>
      </c>
      <c r="I15" s="7">
        <f>$B15 * IFERROR(VLOOKUP("electricity|SO2|Work loss days", US_national_yearly!$D:$AM, 17, FALSE) / VLOOKUP("electricity|SO2|Work loss days", US_national_yearly!$D:$AM, 10, FALSE), 1)</f>
        <v>2.4700309222250579E-2</v>
      </c>
      <c r="J15" s="7">
        <f>$B15 * IFERROR(VLOOKUP("electricity|SO2|Work loss days", US_national_yearly!$D:$AM, 18, FALSE) / VLOOKUP("electricity|SO2|Work loss days", US_national_yearly!$D:$AM, 10, FALSE), 1)</f>
        <v>2.4846233639603352E-2</v>
      </c>
      <c r="K15" s="7">
        <f>$B15 * IFERROR(VLOOKUP("electricity|SO2|Work loss days", US_national_yearly!$D:$AM, 19, FALSE) / VLOOKUP("electricity|SO2|Work loss days", US_national_yearly!$D:$AM, 10, FALSE), 1)</f>
        <v>2.4992158056956138E-2</v>
      </c>
      <c r="L15" s="7">
        <f>$B15 * IFERROR(VLOOKUP("electricity|SO2|Work loss days", US_national_yearly!$D:$AM, 20, FALSE) / VLOOKUP("electricity|SO2|Work loss days", US_national_yearly!$D:$AM, 10, FALSE), 1)</f>
        <v>2.5138082474308914E-2</v>
      </c>
      <c r="M15" s="7">
        <f>$B15 * IFERROR(VLOOKUP("electricity|SO2|Work loss days", US_national_yearly!$D:$AM, 21, FALSE) / VLOOKUP("electricity|SO2|Work loss days", US_national_yearly!$D:$AM, 10, FALSE), 1)</f>
        <v>2.5284006891661701E-2</v>
      </c>
      <c r="N15" s="7">
        <f>$B15 * IFERROR(VLOOKUP("electricity|SO2|Work loss days", US_national_yearly!$D:$AM, 22, FALSE) / VLOOKUP("electricity|SO2|Work loss days", US_national_yearly!$D:$AM, 10, FALSE), 1)</f>
        <v>2.5468637570175177E-2</v>
      </c>
      <c r="O15" s="7">
        <f>$B15 * IFERROR(VLOOKUP("electricity|SO2|Work loss days", US_national_yearly!$D:$AM, 23, FALSE) / VLOOKUP("electricity|SO2|Work loss days", US_national_yearly!$D:$AM, 10, FALSE), 1)</f>
        <v>2.5653268248688663E-2</v>
      </c>
      <c r="P15" s="7">
        <f>$B15 * IFERROR(VLOOKUP("electricity|SO2|Work loss days", US_national_yearly!$D:$AM, 24, FALSE) / VLOOKUP("electricity|SO2|Work loss days", US_national_yearly!$D:$AM, 10, FALSE), 1)</f>
        <v>2.5837898927202146E-2</v>
      </c>
      <c r="Q15" s="7">
        <f>$B15 * IFERROR(VLOOKUP("electricity|SO2|Work loss days", US_national_yearly!$D:$AM, 25, FALSE) / VLOOKUP("electricity|SO2|Work loss days", US_national_yearly!$D:$AM, 10, FALSE), 1)</f>
        <v>2.6022529605715623E-2</v>
      </c>
      <c r="R15" s="7">
        <f>$B15 * IFERROR(VLOOKUP("electricity|SO2|Work loss days", US_national_yearly!$D:$AM, 26, FALSE) / VLOOKUP("electricity|SO2|Work loss days", US_national_yearly!$D:$AM, 10, FALSE), 1)</f>
        <v>2.6207160284229106E-2</v>
      </c>
      <c r="S15" s="7">
        <f>$B15 * IFERROR(VLOOKUP("electricity|SO2|Work loss days", US_national_yearly!$D:$AM, 27, FALSE) / VLOOKUP("electricity|SO2|Work loss days", US_national_yearly!$D:$AM, 10, FALSE), 1)</f>
        <v>2.6414148504035433E-2</v>
      </c>
      <c r="T15" s="7">
        <f>$B15 * IFERROR(VLOOKUP("electricity|SO2|Work loss days", US_national_yearly!$D:$AM, 28, FALSE) / VLOOKUP("electricity|SO2|Work loss days", US_national_yearly!$D:$AM, 10, FALSE), 1)</f>
        <v>2.6621136723841761E-2</v>
      </c>
      <c r="U15" s="7">
        <f>$B15 * IFERROR(VLOOKUP("electricity|SO2|Work loss days", US_national_yearly!$D:$AM, 29, FALSE) / VLOOKUP("electricity|SO2|Work loss days", US_national_yearly!$D:$AM, 10, FALSE), 1)</f>
        <v>2.6828124943648092E-2</v>
      </c>
      <c r="V15" s="7">
        <f>$B15 * IFERROR(VLOOKUP("electricity|SO2|Work loss days", US_national_yearly!$D:$AM, 30, FALSE) / VLOOKUP("electricity|SO2|Work loss days", US_national_yearly!$D:$AM, 10, FALSE), 1)</f>
        <v>2.7035113163454423E-2</v>
      </c>
      <c r="W15" s="7">
        <f>$B15 * IFERROR(VLOOKUP("electricity|SO2|Work loss days", US_national_yearly!$D:$AM, 31, FALSE) / VLOOKUP("electricity|SO2|Work loss days", US_national_yearly!$D:$AM, 10, FALSE), 1)</f>
        <v>2.7242101383260754E-2</v>
      </c>
      <c r="X15" s="7">
        <f>$B15 * IFERROR(VLOOKUP("electricity|SO2|Work loss days", US_national_yearly!$D:$AM, 32, FALSE) / VLOOKUP("electricity|SO2|Work loss days", US_national_yearly!$D:$AM, 10, FALSE), 1)</f>
        <v>2.7428577296955539E-2</v>
      </c>
      <c r="Y15" s="7">
        <f>$B15 * IFERROR(VLOOKUP("electricity|SO2|Work loss days", US_national_yearly!$D:$AM, 33, FALSE) / VLOOKUP("electricity|SO2|Work loss days", US_national_yearly!$D:$AM, 10, FALSE), 1)</f>
        <v>2.7615053210650324E-2</v>
      </c>
      <c r="Z15" s="7">
        <f>$B15 * IFERROR(VLOOKUP("electricity|SO2|Work loss days", US_national_yearly!$D:$AM, 34, FALSE) / VLOOKUP("electricity|SO2|Work loss days", US_national_yearly!$D:$AM, 10, FALSE), 1)</f>
        <v>2.7801529124345102E-2</v>
      </c>
      <c r="AA15" s="7">
        <f>$B15 * IFERROR(VLOOKUP("electricity|SO2|Work loss days", US_national_yearly!$D:$AM, 35, FALSE) / VLOOKUP("electricity|SO2|Work loss days", US_national_yearly!$D:$AM, 10, FALSE), 1)</f>
        <v>2.7988005038039884E-2</v>
      </c>
      <c r="AB15" s="7">
        <f>$B15 * IFERROR(VLOOKUP("electricity|SO2|Work loss days", US_national_yearly!$D:$AM, 36, FALSE) / VLOOKUP("electricity|SO2|Work loss days", US_national_yearly!$D:$AM, 10, FALSE), 1)</f>
        <v>2.8174480951734669E-2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5.3188075398707893E-5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5.4799821936671131E-5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5.6411568474634363E-5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5.8023315012597614E-5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5.9635061550560846E-5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6.1188682510170312E-5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6.2742303469779786E-5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6.4087336118297608E-5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6.543236876681543E-5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6.6777401415333253E-5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6.8122434063851061E-5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6.9467466712368897E-5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7.0385447908968742E-5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7.1303429105568574E-5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7.2221410302168447E-5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7.3139391498768278E-5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7.4057372695368124E-5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7.456062680417927E-5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7.5063880912990403E-5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7.5567135021801563E-5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7.6070389130612697E-5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7.657364323942383E-5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7.6921033421609343E-5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7.7268423603794843E-5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7.7615813785980356E-5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7.7963203968165869E-5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7.8310594150351369E-5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1.8688573368347092E-2</v>
      </c>
      <c r="C2" s="7">
        <f>$B2 * IFERROR(VLOOKUP("buildings|PM25|Premature mortality", US_national_yearly!$D:$AM, 11, FALSE) / VLOOKUP("buildings|PM25|Premature mortality", US_national_yearly!$D:$AM, 10, FALSE), 1)</f>
        <v>1.8920438543915893E-2</v>
      </c>
      <c r="D2" s="7">
        <f>$B2 * IFERROR(VLOOKUP("buildings|PM25|Premature mortality", US_national_yearly!$D:$AM, 12, FALSE) / VLOOKUP("buildings|PM25|Premature mortality", US_national_yearly!$D:$AM, 10, FALSE), 1)</f>
        <v>1.915230371948469E-2</v>
      </c>
      <c r="E2" s="7">
        <f>$B2 * IFERROR(VLOOKUP("buildings|PM25|Premature mortality", US_national_yearly!$D:$AM, 13, FALSE) / VLOOKUP("buildings|PM25|Premature mortality", US_national_yearly!$D:$AM, 10, FALSE), 1)</f>
        <v>1.938416889505349E-2</v>
      </c>
      <c r="F2" s="7">
        <f>$B2 * IFERROR(VLOOKUP("buildings|PM25|Premature mortality", US_national_yearly!$D:$AM, 14, FALSE) / VLOOKUP("buildings|PM25|Premature mortality", US_national_yearly!$D:$AM, 10, FALSE), 1)</f>
        <v>1.961603407062229E-2</v>
      </c>
      <c r="G2" s="7">
        <f>$B2 * IFERROR(VLOOKUP("buildings|PM25|Premature mortality", US_national_yearly!$D:$AM, 15, FALSE) / VLOOKUP("buildings|PM25|Premature mortality", US_national_yearly!$D:$AM, 10, FALSE), 1)</f>
        <v>2.0067523116295987E-2</v>
      </c>
      <c r="H2" s="7">
        <f>$B2 * IFERROR(VLOOKUP("buildings|PM25|Premature mortality", US_national_yearly!$D:$AM, 16, FALSE) / VLOOKUP("buildings|PM25|Premature mortality", US_national_yearly!$D:$AM, 10, FALSE), 1)</f>
        <v>2.0519012161969687E-2</v>
      </c>
      <c r="I2" s="7">
        <f>$B2 * IFERROR(VLOOKUP("buildings|PM25|Premature mortality", US_national_yearly!$D:$AM, 17, FALSE) / VLOOKUP("buildings|PM25|Premature mortality", US_national_yearly!$D:$AM, 10, FALSE), 1)</f>
        <v>2.0815948730845912E-2</v>
      </c>
      <c r="J2" s="7">
        <f>$B2 * IFERROR(VLOOKUP("buildings|PM25|Premature mortality", US_national_yearly!$D:$AM, 18, FALSE) / VLOOKUP("buildings|PM25|Premature mortality", US_national_yearly!$D:$AM, 10, FALSE), 1)</f>
        <v>2.1112885299722134E-2</v>
      </c>
      <c r="K2" s="7">
        <f>$B2 * IFERROR(VLOOKUP("buildings|PM25|Premature mortality", US_national_yearly!$D:$AM, 19, FALSE) / VLOOKUP("buildings|PM25|Premature mortality", US_national_yearly!$D:$AM, 10, FALSE), 1)</f>
        <v>2.1409821868598359E-2</v>
      </c>
      <c r="L2" s="7">
        <f>$B2 * IFERROR(VLOOKUP("buildings|PM25|Premature mortality", US_national_yearly!$D:$AM, 20, FALSE) / VLOOKUP("buildings|PM25|Premature mortality", US_national_yearly!$D:$AM, 10, FALSE), 1)</f>
        <v>2.1706758437474584E-2</v>
      </c>
      <c r="M2" s="7">
        <f>$B2 * IFERROR(VLOOKUP("buildings|PM25|Premature mortality", US_national_yearly!$D:$AM, 21, FALSE) / VLOOKUP("buildings|PM25|Premature mortality", US_national_yearly!$D:$AM, 10, FALSE), 1)</f>
        <v>2.2003695006350809E-2</v>
      </c>
      <c r="N2" s="7">
        <f>$B2 * IFERROR(VLOOKUP("buildings|PM25|Premature mortality", US_national_yearly!$D:$AM, 22, FALSE) / VLOOKUP("buildings|PM25|Premature mortality", US_national_yearly!$D:$AM, 10, FALSE), 1)</f>
        <v>2.2234596190720438E-2</v>
      </c>
      <c r="O2" s="7">
        <f>$B2 * IFERROR(VLOOKUP("buildings|PM25|Premature mortality", US_national_yearly!$D:$AM, 23, FALSE) / VLOOKUP("buildings|PM25|Premature mortality", US_national_yearly!$D:$AM, 10, FALSE), 1)</f>
        <v>2.2465497375090075E-2</v>
      </c>
      <c r="P2" s="7">
        <f>$B2 * IFERROR(VLOOKUP("buildings|PM25|Premature mortality", US_national_yearly!$D:$AM, 24, FALSE) / VLOOKUP("buildings|PM25|Premature mortality", US_national_yearly!$D:$AM, 10, FALSE), 1)</f>
        <v>2.2696398559459707E-2</v>
      </c>
      <c r="Q2" s="7">
        <f>$B2 * IFERROR(VLOOKUP("buildings|PM25|Premature mortality", US_national_yearly!$D:$AM, 25, FALSE) / VLOOKUP("buildings|PM25|Premature mortality", US_national_yearly!$D:$AM, 10, FALSE), 1)</f>
        <v>2.2927299743829347E-2</v>
      </c>
      <c r="R2" s="7">
        <f>$B2 * IFERROR(VLOOKUP("buildings|PM25|Premature mortality", US_national_yearly!$D:$AM, 26, FALSE) / VLOOKUP("buildings|PM25|Premature mortality", US_national_yearly!$D:$AM, 10, FALSE), 1)</f>
        <v>2.315820092819898E-2</v>
      </c>
      <c r="S2" s="7">
        <f>$B2 * IFERROR(VLOOKUP("buildings|PM25|Premature mortality", US_national_yearly!$D:$AM, 27, FALSE) / VLOOKUP("buildings|PM25|Premature mortality", US_national_yearly!$D:$AM, 10, FALSE), 1)</f>
        <v>2.3280927201204678E-2</v>
      </c>
      <c r="T2" s="7">
        <f>$B2 * IFERROR(VLOOKUP("buildings|PM25|Premature mortality", US_national_yearly!$D:$AM, 28, FALSE) / VLOOKUP("buildings|PM25|Premature mortality", US_national_yearly!$D:$AM, 10, FALSE), 1)</f>
        <v>2.3403653474210379E-2</v>
      </c>
      <c r="U2" s="7">
        <f>$B2 * IFERROR(VLOOKUP("buildings|PM25|Premature mortality", US_national_yearly!$D:$AM, 29, FALSE) / VLOOKUP("buildings|PM25|Premature mortality", US_national_yearly!$D:$AM, 10, FALSE), 1)</f>
        <v>2.3526379747216084E-2</v>
      </c>
      <c r="V2" s="7">
        <f>$B2 * IFERROR(VLOOKUP("buildings|PM25|Premature mortality", US_national_yearly!$D:$AM, 30, FALSE) / VLOOKUP("buildings|PM25|Premature mortality", US_national_yearly!$D:$AM, 10, FALSE), 1)</f>
        <v>2.3649106020221786E-2</v>
      </c>
      <c r="W2" s="7">
        <f>$B2 * IFERROR(VLOOKUP("buildings|PM25|Premature mortality", US_national_yearly!$D:$AM, 31, FALSE) / VLOOKUP("buildings|PM25|Premature mortality", US_national_yearly!$D:$AM, 10, FALSE), 1)</f>
        <v>2.3771832293227484E-2</v>
      </c>
      <c r="X2" s="7">
        <f>$B2 * IFERROR(VLOOKUP("buildings|PM25|Premature mortality", US_national_yearly!$D:$AM, 32, FALSE) / VLOOKUP("buildings|PM25|Premature mortality", US_national_yearly!$D:$AM, 10, FALSE), 1)</f>
        <v>2.3793860673965203E-2</v>
      </c>
      <c r="Y2" s="7">
        <f>$B2 * IFERROR(VLOOKUP("buildings|PM25|Premature mortality", US_national_yearly!$D:$AM, 33, FALSE) / VLOOKUP("buildings|PM25|Premature mortality", US_national_yearly!$D:$AM, 10, FALSE), 1)</f>
        <v>2.3815889054702916E-2</v>
      </c>
      <c r="Z2" s="7">
        <f>$B2 * IFERROR(VLOOKUP("buildings|PM25|Premature mortality", US_national_yearly!$D:$AM, 34, FALSE) / VLOOKUP("buildings|PM25|Premature mortality", US_national_yearly!$D:$AM, 10, FALSE), 1)</f>
        <v>2.3837917435440632E-2</v>
      </c>
      <c r="AA2" s="7">
        <f>$B2 * IFERROR(VLOOKUP("buildings|PM25|Premature mortality", US_national_yearly!$D:$AM, 35, FALSE) / VLOOKUP("buildings|PM25|Premature mortality", US_national_yearly!$D:$AM, 10, FALSE), 1)</f>
        <v>2.3859945816178348E-2</v>
      </c>
      <c r="AB2" s="7">
        <f>$B2 * IFERROR(VLOOKUP("buildings|PM25|Premature mortality", US_national_yearly!$D:$AM, 36, FALSE) / VLOOKUP("buildings|PM25|Premature mortality", US_national_yearly!$D:$AM, 10, FALSE), 1)</f>
        <v>2.388197419691606E-2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4.2785393930935003E-5</v>
      </c>
      <c r="C3" s="7">
        <f>$B3 * IFERROR(VLOOKUP("buildings|PM25|Infant mortality", US_national_yearly!$D:$AM, 11, FALSE) / VLOOKUP("buildings|PM25|Infant mortality", US_national_yearly!$D:$AM, 10, FALSE), 1)</f>
        <v>4.2414803207624785E-5</v>
      </c>
      <c r="D3" s="7">
        <f>$B3 * IFERROR(VLOOKUP("buildings|PM25|Infant mortality", US_national_yearly!$D:$AM, 12, FALSE) / VLOOKUP("buildings|PM25|Infant mortality", US_national_yearly!$D:$AM, 10, FALSE), 1)</f>
        <v>4.2044212484314567E-5</v>
      </c>
      <c r="E3" s="7">
        <f>$B3 * IFERROR(VLOOKUP("buildings|PM25|Infant mortality", US_national_yearly!$D:$AM, 13, FALSE) / VLOOKUP("buildings|PM25|Infant mortality", US_national_yearly!$D:$AM, 10, FALSE), 1)</f>
        <v>4.1673621761004349E-5</v>
      </c>
      <c r="F3" s="7">
        <f>$B3 * IFERROR(VLOOKUP("buildings|PM25|Infant mortality", US_national_yearly!$D:$AM, 14, FALSE) / VLOOKUP("buildings|PM25|Infant mortality", US_national_yearly!$D:$AM, 10, FALSE), 1)</f>
        <v>4.1303031037694131E-5</v>
      </c>
      <c r="G3" s="7">
        <f>$B3 * IFERROR(VLOOKUP("buildings|PM25|Infant mortality", US_national_yearly!$D:$AM, 15, FALSE) / VLOOKUP("buildings|PM25|Infant mortality", US_national_yearly!$D:$AM, 10, FALSE), 1)</f>
        <v>2.7465017200166376E-5</v>
      </c>
      <c r="H3" s="7">
        <f>$B3 * IFERROR(VLOOKUP("buildings|PM25|Infant mortality", US_national_yearly!$D:$AM, 16, FALSE) / VLOOKUP("buildings|PM25|Infant mortality", US_national_yearly!$D:$AM, 10, FALSE), 1)</f>
        <v>1.3627003362638622E-5</v>
      </c>
      <c r="I3" s="7">
        <f>$B3 * IFERROR(VLOOKUP("buildings|PM25|Infant mortality", US_national_yearly!$D:$AM, 17, FALSE) / VLOOKUP("buildings|PM25|Infant mortality", US_national_yearly!$D:$AM, 10, FALSE), 1)</f>
        <v>1.3538204281194897E-5</v>
      </c>
      <c r="J3" s="7">
        <f>$B3 * IFERROR(VLOOKUP("buildings|PM25|Infant mortality", US_national_yearly!$D:$AM, 18, FALSE) / VLOOKUP("buildings|PM25|Infant mortality", US_national_yearly!$D:$AM, 10, FALSE), 1)</f>
        <v>1.3449405199751173E-5</v>
      </c>
      <c r="K3" s="7">
        <f>$B3 * IFERROR(VLOOKUP("buildings|PM25|Infant mortality", US_national_yearly!$D:$AM, 19, FALSE) / VLOOKUP("buildings|PM25|Infant mortality", US_national_yearly!$D:$AM, 10, FALSE), 1)</f>
        <v>1.3360606118307448E-5</v>
      </c>
      <c r="L3" s="7">
        <f>$B3 * IFERROR(VLOOKUP("buildings|PM25|Infant mortality", US_national_yearly!$D:$AM, 20, FALSE) / VLOOKUP("buildings|PM25|Infant mortality", US_national_yearly!$D:$AM, 10, FALSE), 1)</f>
        <v>1.3271807036863724E-5</v>
      </c>
      <c r="M3" s="7">
        <f>$B3 * IFERROR(VLOOKUP("buildings|PM25|Infant mortality", US_national_yearly!$D:$AM, 21, FALSE) / VLOOKUP("buildings|PM25|Infant mortality", US_national_yearly!$D:$AM, 10, FALSE), 1)</f>
        <v>1.318300795542E-5</v>
      </c>
      <c r="N3" s="7">
        <f>$B3 * IFERROR(VLOOKUP("buildings|PM25|Infant mortality", US_national_yearly!$D:$AM, 22, FALSE) / VLOOKUP("buildings|PM25|Infant mortality", US_national_yearly!$D:$AM, 10, FALSE), 1)</f>
        <v>1.3127446751253294E-5</v>
      </c>
      <c r="O3" s="7">
        <f>$B3 * IFERROR(VLOOKUP("buildings|PM25|Infant mortality", US_national_yearly!$D:$AM, 23, FALSE) / VLOOKUP("buildings|PM25|Infant mortality", US_national_yearly!$D:$AM, 10, FALSE), 1)</f>
        <v>1.307188554708659E-5</v>
      </c>
      <c r="P3" s="7">
        <f>$B3 * IFERROR(VLOOKUP("buildings|PM25|Infant mortality", US_national_yearly!$D:$AM, 24, FALSE) / VLOOKUP("buildings|PM25|Infant mortality", US_national_yearly!$D:$AM, 10, FALSE), 1)</f>
        <v>1.3016324342919886E-5</v>
      </c>
      <c r="Q3" s="7">
        <f>$B3 * IFERROR(VLOOKUP("buildings|PM25|Infant mortality", US_national_yearly!$D:$AM, 25, FALSE) / VLOOKUP("buildings|PM25|Infant mortality", US_national_yearly!$D:$AM, 10, FALSE), 1)</f>
        <v>1.296076313875318E-5</v>
      </c>
      <c r="R3" s="7">
        <f>$B3 * IFERROR(VLOOKUP("buildings|PM25|Infant mortality", US_national_yearly!$D:$AM, 26, FALSE) / VLOOKUP("buildings|PM25|Infant mortality", US_national_yearly!$D:$AM, 10, FALSE), 1)</f>
        <v>1.2905201934586476E-5</v>
      </c>
      <c r="S3" s="7">
        <f>$B3 * IFERROR(VLOOKUP("buildings|PM25|Infant mortality", US_national_yearly!$D:$AM, 27, FALSE) / VLOOKUP("buildings|PM25|Infant mortality", US_national_yearly!$D:$AM, 10, FALSE), 1)</f>
        <v>1.2835829950652496E-5</v>
      </c>
      <c r="T3" s="7">
        <f>$B3 * IFERROR(VLOOKUP("buildings|PM25|Infant mortality", US_national_yearly!$D:$AM, 28, FALSE) / VLOOKUP("buildings|PM25|Infant mortality", US_national_yearly!$D:$AM, 10, FALSE), 1)</f>
        <v>1.2766457966718519E-5</v>
      </c>
      <c r="U3" s="7">
        <f>$B3 * IFERROR(VLOOKUP("buildings|PM25|Infant mortality", US_national_yearly!$D:$AM, 29, FALSE) / VLOOKUP("buildings|PM25|Infant mortality", US_national_yearly!$D:$AM, 10, FALSE), 1)</f>
        <v>1.2697085982784537E-5</v>
      </c>
      <c r="V3" s="7">
        <f>$B3 * IFERROR(VLOOKUP("buildings|PM25|Infant mortality", US_national_yearly!$D:$AM, 30, FALSE) / VLOOKUP("buildings|PM25|Infant mortality", US_national_yearly!$D:$AM, 10, FALSE), 1)</f>
        <v>1.2627713998850559E-5</v>
      </c>
      <c r="W3" s="7">
        <f>$B3 * IFERROR(VLOOKUP("buildings|PM25|Infant mortality", US_national_yearly!$D:$AM, 31, FALSE) / VLOOKUP("buildings|PM25|Infant mortality", US_national_yearly!$D:$AM, 10, FALSE), 1)</f>
        <v>1.255834201491658E-5</v>
      </c>
      <c r="X3" s="7">
        <f>$B3 * IFERROR(VLOOKUP("buildings|PM25|Infant mortality", US_national_yearly!$D:$AM, 32, FALSE) / VLOOKUP("buildings|PM25|Infant mortality", US_national_yearly!$D:$AM, 10, FALSE), 1)</f>
        <v>1.2483654142302809E-5</v>
      </c>
      <c r="Y3" s="7">
        <f>$B3 * IFERROR(VLOOKUP("buildings|PM25|Infant mortality", US_national_yearly!$D:$AM, 33, FALSE) / VLOOKUP("buildings|PM25|Infant mortality", US_national_yearly!$D:$AM, 10, FALSE), 1)</f>
        <v>1.2408966269689041E-5</v>
      </c>
      <c r="Z3" s="7">
        <f>$B3 * IFERROR(VLOOKUP("buildings|PM25|Infant mortality", US_national_yearly!$D:$AM, 34, FALSE) / VLOOKUP("buildings|PM25|Infant mortality", US_national_yearly!$D:$AM, 10, FALSE), 1)</f>
        <v>1.2334278397075271E-5</v>
      </c>
      <c r="AA3" s="7">
        <f>$B3 * IFERROR(VLOOKUP("buildings|PM25|Infant mortality", US_national_yearly!$D:$AM, 35, FALSE) / VLOOKUP("buildings|PM25|Infant mortality", US_national_yearly!$D:$AM, 10, FALSE), 1)</f>
        <v>1.2259590524461501E-5</v>
      </c>
      <c r="AB3" s="7">
        <f>$B3 * IFERROR(VLOOKUP("buildings|PM25|Infant mortality", US_national_yearly!$D:$AM, 36, FALSE) / VLOOKUP("buildings|PM25|Infant mortality", US_national_yearly!$D:$AM, 10, FALSE), 1)</f>
        <v>1.2184902651847733E-5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4.2329597369386796E-2</v>
      </c>
      <c r="C6" s="7">
        <f>$B6 * IFERROR(VLOOKUP("buildings|PM25|Asthma symptoms cough", US_national_yearly!$D:$AM, 11, FALSE) / VLOOKUP("buildings|PM25|Asthma symptoms cough", US_national_yearly!$D:$AM, 10, FALSE), 1)</f>
        <v>4.2329597369386796E-2</v>
      </c>
      <c r="D6" s="7">
        <f>$B6 * IFERROR(VLOOKUP("buildings|PM25|Asthma symptoms cough", US_national_yearly!$D:$AM, 12, FALSE) / VLOOKUP("buildings|PM25|Asthma symptoms cough", US_national_yearly!$D:$AM, 10, FALSE), 1)</f>
        <v>4.2329597369386796E-2</v>
      </c>
      <c r="E6" s="7">
        <f>$B6 * IFERROR(VLOOKUP("buildings|PM25|Asthma symptoms cough", US_national_yearly!$D:$AM, 13, FALSE) / VLOOKUP("buildings|PM25|Asthma symptoms cough", US_national_yearly!$D:$AM, 10, FALSE), 1)</f>
        <v>4.2329597369386796E-2</v>
      </c>
      <c r="F6" s="7">
        <f>$B6 * IFERROR(VLOOKUP("buildings|PM25|Asthma symptoms cough", US_national_yearly!$D:$AM, 14, FALSE) / VLOOKUP("buildings|PM25|Asthma symptoms cough", US_national_yearly!$D:$AM, 10, FALSE), 1)</f>
        <v>4.2329597369386796E-2</v>
      </c>
      <c r="G6" s="7">
        <f>$B6 * IFERROR(VLOOKUP("buildings|PM25|Asthma symptoms cough", US_national_yearly!$D:$AM, 15, FALSE) / VLOOKUP("buildings|PM25|Asthma symptoms cough", US_national_yearly!$D:$AM, 10, FALSE), 1)</f>
        <v>4.2329597369386796E-2</v>
      </c>
      <c r="H6" s="7">
        <f>$B6 * IFERROR(VLOOKUP("buildings|PM25|Asthma symptoms cough", US_national_yearly!$D:$AM, 16, FALSE) / VLOOKUP("buildings|PM25|Asthma symptoms cough", US_national_yearly!$D:$AM, 10, FALSE), 1)</f>
        <v>4.2329597369386796E-2</v>
      </c>
      <c r="I6" s="7">
        <f>$B6 * IFERROR(VLOOKUP("buildings|PM25|Asthma symptoms cough", US_national_yearly!$D:$AM, 17, FALSE) / VLOOKUP("buildings|PM25|Asthma symptoms cough", US_national_yearly!$D:$AM, 10, FALSE), 1)</f>
        <v>4.2329597369386796E-2</v>
      </c>
      <c r="J6" s="7">
        <f>$B6 * IFERROR(VLOOKUP("buildings|PM25|Asthma symptoms cough", US_national_yearly!$D:$AM, 18, FALSE) / VLOOKUP("buildings|PM25|Asthma symptoms cough", US_national_yearly!$D:$AM, 10, FALSE), 1)</f>
        <v>4.2329597369386796E-2</v>
      </c>
      <c r="K6" s="7">
        <f>$B6 * IFERROR(VLOOKUP("buildings|PM25|Asthma symptoms cough", US_national_yearly!$D:$AM, 19, FALSE) / VLOOKUP("buildings|PM25|Asthma symptoms cough", US_national_yearly!$D:$AM, 10, FALSE), 1)</f>
        <v>4.2329597369386796E-2</v>
      </c>
      <c r="L6" s="7">
        <f>$B6 * IFERROR(VLOOKUP("buildings|PM25|Asthma symptoms cough", US_national_yearly!$D:$AM, 20, FALSE) / VLOOKUP("buildings|PM25|Asthma symptoms cough", US_national_yearly!$D:$AM, 10, FALSE), 1)</f>
        <v>4.2329597369386796E-2</v>
      </c>
      <c r="M6" s="7">
        <f>$B6 * IFERROR(VLOOKUP("buildings|PM25|Asthma symptoms cough", US_national_yearly!$D:$AM, 21, FALSE) / VLOOKUP("buildings|PM25|Asthma symptoms cough", US_national_yearly!$D:$AM, 10, FALSE), 1)</f>
        <v>4.2329597369386796E-2</v>
      </c>
      <c r="N6" s="7">
        <f>$B6 * IFERROR(VLOOKUP("buildings|PM25|Asthma symptoms cough", US_national_yearly!$D:$AM, 22, FALSE) / VLOOKUP("buildings|PM25|Asthma symptoms cough", US_national_yearly!$D:$AM, 10, FALSE), 1)</f>
        <v>4.2329597369386796E-2</v>
      </c>
      <c r="O6" s="7">
        <f>$B6 * IFERROR(VLOOKUP("buildings|PM25|Asthma symptoms cough", US_national_yearly!$D:$AM, 23, FALSE) / VLOOKUP("buildings|PM25|Asthma symptoms cough", US_national_yearly!$D:$AM, 10, FALSE), 1)</f>
        <v>4.2329597369386796E-2</v>
      </c>
      <c r="P6" s="7">
        <f>$B6 * IFERROR(VLOOKUP("buildings|PM25|Asthma symptoms cough", US_national_yearly!$D:$AM, 24, FALSE) / VLOOKUP("buildings|PM25|Asthma symptoms cough", US_national_yearly!$D:$AM, 10, FALSE), 1)</f>
        <v>4.2329597369386796E-2</v>
      </c>
      <c r="Q6" s="7">
        <f>$B6 * IFERROR(VLOOKUP("buildings|PM25|Asthma symptoms cough", US_national_yearly!$D:$AM, 25, FALSE) / VLOOKUP("buildings|PM25|Asthma symptoms cough", US_national_yearly!$D:$AM, 10, FALSE), 1)</f>
        <v>4.2329597369386796E-2</v>
      </c>
      <c r="R6" s="7">
        <f>$B6 * IFERROR(VLOOKUP("buildings|PM25|Asthma symptoms cough", US_national_yearly!$D:$AM, 26, FALSE) / VLOOKUP("buildings|PM25|Asthma symptoms cough", US_national_yearly!$D:$AM, 10, FALSE), 1)</f>
        <v>4.2329597369386796E-2</v>
      </c>
      <c r="S6" s="7">
        <f>$B6 * IFERROR(VLOOKUP("buildings|PM25|Asthma symptoms cough", US_national_yearly!$D:$AM, 27, FALSE) / VLOOKUP("buildings|PM25|Asthma symptoms cough", US_national_yearly!$D:$AM, 10, FALSE), 1)</f>
        <v>4.2329597369386796E-2</v>
      </c>
      <c r="T6" s="7">
        <f>$B6 * IFERROR(VLOOKUP("buildings|PM25|Asthma symptoms cough", US_national_yearly!$D:$AM, 28, FALSE) / VLOOKUP("buildings|PM25|Asthma symptoms cough", US_national_yearly!$D:$AM, 10, FALSE), 1)</f>
        <v>4.2329597369386796E-2</v>
      </c>
      <c r="U6" s="7">
        <f>$B6 * IFERROR(VLOOKUP("buildings|PM25|Asthma symptoms cough", US_national_yearly!$D:$AM, 29, FALSE) / VLOOKUP("buildings|PM25|Asthma symptoms cough", US_national_yearly!$D:$AM, 10, FALSE), 1)</f>
        <v>4.2329597369386796E-2</v>
      </c>
      <c r="V6" s="7">
        <f>$B6 * IFERROR(VLOOKUP("buildings|PM25|Asthma symptoms cough", US_national_yearly!$D:$AM, 30, FALSE) / VLOOKUP("buildings|PM25|Asthma symptoms cough", US_national_yearly!$D:$AM, 10, FALSE), 1)</f>
        <v>4.2329597369386796E-2</v>
      </c>
      <c r="W6" s="7">
        <f>$B6 * IFERROR(VLOOKUP("buildings|PM25|Asthma symptoms cough", US_national_yearly!$D:$AM, 31, FALSE) / VLOOKUP("buildings|PM25|Asthma symptoms cough", US_national_yearly!$D:$AM, 10, FALSE), 1)</f>
        <v>4.2329597369386796E-2</v>
      </c>
      <c r="X6" s="7">
        <f>$B6 * IFERROR(VLOOKUP("buildings|PM25|Asthma symptoms cough", US_national_yearly!$D:$AM, 32, FALSE) / VLOOKUP("buildings|PM25|Asthma symptoms cough", US_national_yearly!$D:$AM, 10, FALSE), 1)</f>
        <v>4.2329597369386796E-2</v>
      </c>
      <c r="Y6" s="7">
        <f>$B6 * IFERROR(VLOOKUP("buildings|PM25|Asthma symptoms cough", US_national_yearly!$D:$AM, 33, FALSE) / VLOOKUP("buildings|PM25|Asthma symptoms cough", US_national_yearly!$D:$AM, 10, FALSE), 1)</f>
        <v>4.2329597369386796E-2</v>
      </c>
      <c r="Z6" s="7">
        <f>$B6 * IFERROR(VLOOKUP("buildings|PM25|Asthma symptoms cough", US_national_yearly!$D:$AM, 34, FALSE) / VLOOKUP("buildings|PM25|Asthma symptoms cough", US_national_yearly!$D:$AM, 10, FALSE), 1)</f>
        <v>4.2329597369386796E-2</v>
      </c>
      <c r="AA6" s="7">
        <f>$B6 * IFERROR(VLOOKUP("buildings|PM25|Asthma symptoms cough", US_national_yearly!$D:$AM, 35, FALSE) / VLOOKUP("buildings|PM25|Asthma symptoms cough", US_national_yearly!$D:$AM, 10, FALSE), 1)</f>
        <v>4.2329597369386796E-2</v>
      </c>
      <c r="AB6" s="7">
        <f>$B6 * IFERROR(VLOOKUP("buildings|PM25|Asthma symptoms cough", US_national_yearly!$D:$AM, 36, FALSE) / VLOOKUP("buildings|PM25|Asthma symptoms cough", US_national_yearly!$D:$AM, 10, FALSE), 1)</f>
        <v>4.2329597369386796E-2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5.7003008588999968E-2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5.7003008588999968E-2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5.7003008588999968E-2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5.7003008588999968E-2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5.7003008588999968E-2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5.7003008588999968E-2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5.7003008588999968E-2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5.7003008588999968E-2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5.7003008588999968E-2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5.7003008588999968E-2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5.7003008588999968E-2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5.7003008588999968E-2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5.7003008588999968E-2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5.7003008588999968E-2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5.7003008588999968E-2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5.7003008588999968E-2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5.7003008588999968E-2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5.7003008588999968E-2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5.7003008588999968E-2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5.7003008588999968E-2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5.7003008588999968E-2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5.7003008588999968E-2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5.7003008588999968E-2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5.7003008588999968E-2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5.7003008588999968E-2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5.7003008588999968E-2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5.7003008588999968E-2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8.7090709260704877E-2</v>
      </c>
      <c r="C8" s="7">
        <f>$B8 * IFERROR(VLOOKUP("buildings|PM25|Asthma symptoms wheeze", US_national_yearly!$D:$AM, 11, FALSE) / VLOOKUP("buildings|PM25|Asthma symptoms wheeze", US_national_yearly!$D:$AM, 10, FALSE), 1)</f>
        <v>8.7090709260704877E-2</v>
      </c>
      <c r="D8" s="7">
        <f>$B8 * IFERROR(VLOOKUP("buildings|PM25|Asthma symptoms wheeze", US_national_yearly!$D:$AM, 12, FALSE) / VLOOKUP("buildings|PM25|Asthma symptoms wheeze", US_national_yearly!$D:$AM, 10, FALSE), 1)</f>
        <v>8.7090709260704877E-2</v>
      </c>
      <c r="E8" s="7">
        <f>$B8 * IFERROR(VLOOKUP("buildings|PM25|Asthma symptoms wheeze", US_national_yearly!$D:$AM, 13, FALSE) / VLOOKUP("buildings|PM25|Asthma symptoms wheeze", US_national_yearly!$D:$AM, 10, FALSE), 1)</f>
        <v>8.7090709260704877E-2</v>
      </c>
      <c r="F8" s="7">
        <f>$B8 * IFERROR(VLOOKUP("buildings|PM25|Asthma symptoms wheeze", US_national_yearly!$D:$AM, 14, FALSE) / VLOOKUP("buildings|PM25|Asthma symptoms wheeze", US_national_yearly!$D:$AM, 10, FALSE), 1)</f>
        <v>8.7090709260704877E-2</v>
      </c>
      <c r="G8" s="7">
        <f>$B8 * IFERROR(VLOOKUP("buildings|PM25|Asthma symptoms wheeze", US_national_yearly!$D:$AM, 15, FALSE) / VLOOKUP("buildings|PM25|Asthma symptoms wheeze", US_national_yearly!$D:$AM, 10, FALSE), 1)</f>
        <v>8.7090709260704877E-2</v>
      </c>
      <c r="H8" s="7">
        <f>$B8 * IFERROR(VLOOKUP("buildings|PM25|Asthma symptoms wheeze", US_national_yearly!$D:$AM, 16, FALSE) / VLOOKUP("buildings|PM25|Asthma symptoms wheeze", US_national_yearly!$D:$AM, 10, FALSE), 1)</f>
        <v>8.7090709260704877E-2</v>
      </c>
      <c r="I8" s="7">
        <f>$B8 * IFERROR(VLOOKUP("buildings|PM25|Asthma symptoms wheeze", US_national_yearly!$D:$AM, 17, FALSE) / VLOOKUP("buildings|PM25|Asthma symptoms wheeze", US_national_yearly!$D:$AM, 10, FALSE), 1)</f>
        <v>8.7090709260704877E-2</v>
      </c>
      <c r="J8" s="7">
        <f>$B8 * IFERROR(VLOOKUP("buildings|PM25|Asthma symptoms wheeze", US_national_yearly!$D:$AM, 18, FALSE) / VLOOKUP("buildings|PM25|Asthma symptoms wheeze", US_national_yearly!$D:$AM, 10, FALSE), 1)</f>
        <v>8.7090709260704877E-2</v>
      </c>
      <c r="K8" s="7">
        <f>$B8 * IFERROR(VLOOKUP("buildings|PM25|Asthma symptoms wheeze", US_national_yearly!$D:$AM, 19, FALSE) / VLOOKUP("buildings|PM25|Asthma symptoms wheeze", US_national_yearly!$D:$AM, 10, FALSE), 1)</f>
        <v>8.7090709260704877E-2</v>
      </c>
      <c r="L8" s="7">
        <f>$B8 * IFERROR(VLOOKUP("buildings|PM25|Asthma symptoms wheeze", US_national_yearly!$D:$AM, 20, FALSE) / VLOOKUP("buildings|PM25|Asthma symptoms wheeze", US_national_yearly!$D:$AM, 10, FALSE), 1)</f>
        <v>8.7090709260704877E-2</v>
      </c>
      <c r="M8" s="7">
        <f>$B8 * IFERROR(VLOOKUP("buildings|PM25|Asthma symptoms wheeze", US_national_yearly!$D:$AM, 21, FALSE) / VLOOKUP("buildings|PM25|Asthma symptoms wheeze", US_national_yearly!$D:$AM, 10, FALSE), 1)</f>
        <v>8.7090709260704877E-2</v>
      </c>
      <c r="N8" s="7">
        <f>$B8 * IFERROR(VLOOKUP("buildings|PM25|Asthma symptoms wheeze", US_national_yearly!$D:$AM, 22, FALSE) / VLOOKUP("buildings|PM25|Asthma symptoms wheeze", US_national_yearly!$D:$AM, 10, FALSE), 1)</f>
        <v>8.7090709260704877E-2</v>
      </c>
      <c r="O8" s="7">
        <f>$B8 * IFERROR(VLOOKUP("buildings|PM25|Asthma symptoms wheeze", US_national_yearly!$D:$AM, 23, FALSE) / VLOOKUP("buildings|PM25|Asthma symptoms wheeze", US_national_yearly!$D:$AM, 10, FALSE), 1)</f>
        <v>8.7090709260704877E-2</v>
      </c>
      <c r="P8" s="7">
        <f>$B8 * IFERROR(VLOOKUP("buildings|PM25|Asthma symptoms wheeze", US_national_yearly!$D:$AM, 24, FALSE) / VLOOKUP("buildings|PM25|Asthma symptoms wheeze", US_national_yearly!$D:$AM, 10, FALSE), 1)</f>
        <v>8.7090709260704877E-2</v>
      </c>
      <c r="Q8" s="7">
        <f>$B8 * IFERROR(VLOOKUP("buildings|PM25|Asthma symptoms wheeze", US_national_yearly!$D:$AM, 25, FALSE) / VLOOKUP("buildings|PM25|Asthma symptoms wheeze", US_national_yearly!$D:$AM, 10, FALSE), 1)</f>
        <v>8.7090709260704877E-2</v>
      </c>
      <c r="R8" s="7">
        <f>$B8 * IFERROR(VLOOKUP("buildings|PM25|Asthma symptoms wheeze", US_national_yearly!$D:$AM, 26, FALSE) / VLOOKUP("buildings|PM25|Asthma symptoms wheeze", US_national_yearly!$D:$AM, 10, FALSE), 1)</f>
        <v>8.7090709260704877E-2</v>
      </c>
      <c r="S8" s="7">
        <f>$B8 * IFERROR(VLOOKUP("buildings|PM25|Asthma symptoms wheeze", US_national_yearly!$D:$AM, 27, FALSE) / VLOOKUP("buildings|PM25|Asthma symptoms wheeze", US_national_yearly!$D:$AM, 10, FALSE), 1)</f>
        <v>8.7090709260704877E-2</v>
      </c>
      <c r="T8" s="7">
        <f>$B8 * IFERROR(VLOOKUP("buildings|PM25|Asthma symptoms wheeze", US_national_yearly!$D:$AM, 28, FALSE) / VLOOKUP("buildings|PM25|Asthma symptoms wheeze", US_national_yearly!$D:$AM, 10, FALSE), 1)</f>
        <v>8.7090709260704877E-2</v>
      </c>
      <c r="U8" s="7">
        <f>$B8 * IFERROR(VLOOKUP("buildings|PM25|Asthma symptoms wheeze", US_national_yearly!$D:$AM, 29, FALSE) / VLOOKUP("buildings|PM25|Asthma symptoms wheeze", US_national_yearly!$D:$AM, 10, FALSE), 1)</f>
        <v>8.7090709260704877E-2</v>
      </c>
      <c r="V8" s="7">
        <f>$B8 * IFERROR(VLOOKUP("buildings|PM25|Asthma symptoms wheeze", US_national_yearly!$D:$AM, 30, FALSE) / VLOOKUP("buildings|PM25|Asthma symptoms wheeze", US_national_yearly!$D:$AM, 10, FALSE), 1)</f>
        <v>8.7090709260704877E-2</v>
      </c>
      <c r="W8" s="7">
        <f>$B8 * IFERROR(VLOOKUP("buildings|PM25|Asthma symptoms wheeze", US_national_yearly!$D:$AM, 31, FALSE) / VLOOKUP("buildings|PM25|Asthma symptoms wheeze", US_national_yearly!$D:$AM, 10, FALSE), 1)</f>
        <v>8.7090709260704877E-2</v>
      </c>
      <c r="X8" s="7">
        <f>$B8 * IFERROR(VLOOKUP("buildings|PM25|Asthma symptoms wheeze", US_national_yearly!$D:$AM, 32, FALSE) / VLOOKUP("buildings|PM25|Asthma symptoms wheeze", US_national_yearly!$D:$AM, 10, FALSE), 1)</f>
        <v>8.7090709260704877E-2</v>
      </c>
      <c r="Y8" s="7">
        <f>$B8 * IFERROR(VLOOKUP("buildings|PM25|Asthma symptoms wheeze", US_national_yearly!$D:$AM, 33, FALSE) / VLOOKUP("buildings|PM25|Asthma symptoms wheeze", US_national_yearly!$D:$AM, 10, FALSE), 1)</f>
        <v>8.7090709260704877E-2</v>
      </c>
      <c r="Z8" s="7">
        <f>$B8 * IFERROR(VLOOKUP("buildings|PM25|Asthma symptoms wheeze", US_national_yearly!$D:$AM, 34, FALSE) / VLOOKUP("buildings|PM25|Asthma symptoms wheeze", US_national_yearly!$D:$AM, 10, FALSE), 1)</f>
        <v>8.7090709260704877E-2</v>
      </c>
      <c r="AA8" s="7">
        <f>$B8 * IFERROR(VLOOKUP("buildings|PM25|Asthma symptoms wheeze", US_national_yearly!$D:$AM, 35, FALSE) / VLOOKUP("buildings|PM25|Asthma symptoms wheeze", US_national_yearly!$D:$AM, 10, FALSE), 1)</f>
        <v>8.7090709260704877E-2</v>
      </c>
      <c r="AB8" s="7">
        <f>$B8 * IFERROR(VLOOKUP("buildings|PM25|Asthma symptoms wheeze", US_national_yearly!$D:$AM, 36, FALSE) / VLOOKUP("buildings|PM25|Asthma symptoms wheeze", US_national_yearly!$D:$AM, 10, FALSE), 1)</f>
        <v>8.7090709260704877E-2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1.2313187083184403E-3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1.2384162340812271E-3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1.2455137598440141E-3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1.2526112856068013E-3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1.2597088113695883E-3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1.2673676992415491E-3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1.2750265871135102E-3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1.2823108820597822E-3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1.2895951770060541E-3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1.2968794719523257E-3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1.3041637668985979E-3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1.3114480618448695E-3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1.3166874431913625E-3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1.3219268245378555E-3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1.3271662058843485E-3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1.332405587230841E-3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1.337644968577334E-3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1.34263690918979E-3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1.3476288498022466E-3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1.3526207904147026E-3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1.3576127310271585E-3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1.3626046716396149E-3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1.3674260949589972E-3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1.3722475182783797E-3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1.3770689415977617E-3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1.3818903649171442E-3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1.3867117882365265E-3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8.0827240879863434E-3</v>
      </c>
      <c r="C13" s="7">
        <f>$B13 * IFERROR(VLOOKUP("buildings|PM25|Non-fatal heart attacks", US_national_yearly!$D:$AM, 11, FALSE) / VLOOKUP("buildings|PM25|Non-fatal heart attacks", US_national_yearly!$D:$AM, 10, FALSE), 1)</f>
        <v>8.3178215553666307E-3</v>
      </c>
      <c r="D13" s="7">
        <f>$B13 * IFERROR(VLOOKUP("buildings|PM25|Non-fatal heart attacks", US_national_yearly!$D:$AM, 12, FALSE) / VLOOKUP("buildings|PM25|Non-fatal heart attacks", US_national_yearly!$D:$AM, 10, FALSE), 1)</f>
        <v>8.552919022746918E-3</v>
      </c>
      <c r="E13" s="7">
        <f>$B13 * IFERROR(VLOOKUP("buildings|PM25|Non-fatal heart attacks", US_national_yearly!$D:$AM, 13, FALSE) / VLOOKUP("buildings|PM25|Non-fatal heart attacks", US_national_yearly!$D:$AM, 10, FALSE), 1)</f>
        <v>8.7880164901272036E-3</v>
      </c>
      <c r="F13" s="7">
        <f>$B13 * IFERROR(VLOOKUP("buildings|PM25|Non-fatal heart attacks", US_national_yearly!$D:$AM, 14, FALSE) / VLOOKUP("buildings|PM25|Non-fatal heart attacks", US_national_yearly!$D:$AM, 10, FALSE), 1)</f>
        <v>9.023113957507491E-3</v>
      </c>
      <c r="G13" s="7">
        <f>$B13 * IFERROR(VLOOKUP("buildings|PM25|Non-fatal heart attacks", US_national_yearly!$D:$AM, 15, FALSE) / VLOOKUP("buildings|PM25|Non-fatal heart attacks", US_national_yearly!$D:$AM, 10, FALSE), 1)</f>
        <v>9.2449418456121424E-3</v>
      </c>
      <c r="H13" s="7">
        <f>$B13 * IFERROR(VLOOKUP("buildings|PM25|Non-fatal heart attacks", US_national_yearly!$D:$AM, 16, FALSE) / VLOOKUP("buildings|PM25|Non-fatal heart attacks", US_national_yearly!$D:$AM, 10, FALSE), 1)</f>
        <v>9.4667697337167903E-3</v>
      </c>
      <c r="I13" s="7">
        <f>$B13 * IFERROR(VLOOKUP("buildings|PM25|Non-fatal heart attacks", US_national_yearly!$D:$AM, 17, FALSE) / VLOOKUP("buildings|PM25|Non-fatal heart attacks", US_national_yearly!$D:$AM, 10, FALSE), 1)</f>
        <v>9.6452474988120793E-3</v>
      </c>
      <c r="J13" s="7">
        <f>$B13 * IFERROR(VLOOKUP("buildings|PM25|Non-fatal heart attacks", US_national_yearly!$D:$AM, 18, FALSE) / VLOOKUP("buildings|PM25|Non-fatal heart attacks", US_national_yearly!$D:$AM, 10, FALSE), 1)</f>
        <v>9.8237252639073683E-3</v>
      </c>
      <c r="K13" s="7">
        <f>$B13 * IFERROR(VLOOKUP("buildings|PM25|Non-fatal heart attacks", US_national_yearly!$D:$AM, 19, FALSE) / VLOOKUP("buildings|PM25|Non-fatal heart attacks", US_national_yearly!$D:$AM, 10, FALSE), 1)</f>
        <v>1.0002203029002656E-2</v>
      </c>
      <c r="L13" s="7">
        <f>$B13 * IFERROR(VLOOKUP("buildings|PM25|Non-fatal heart attacks", US_national_yearly!$D:$AM, 20, FALSE) / VLOOKUP("buildings|PM25|Non-fatal heart attacks", US_national_yearly!$D:$AM, 10, FALSE), 1)</f>
        <v>1.0180680794097945E-2</v>
      </c>
      <c r="M13" s="7">
        <f>$B13 * IFERROR(VLOOKUP("buildings|PM25|Non-fatal heart attacks", US_national_yearly!$D:$AM, 21, FALSE) / VLOOKUP("buildings|PM25|Non-fatal heart attacks", US_national_yearly!$D:$AM, 10, FALSE), 1)</f>
        <v>1.0359158559193232E-2</v>
      </c>
      <c r="N13" s="7">
        <f>$B13 * IFERROR(VLOOKUP("buildings|PM25|Non-fatal heart attacks", US_national_yearly!$D:$AM, 22, FALSE) / VLOOKUP("buildings|PM25|Non-fatal heart attacks", US_national_yearly!$D:$AM, 10, FALSE), 1)</f>
        <v>1.0474457983852692E-2</v>
      </c>
      <c r="O13" s="7">
        <f>$B13 * IFERROR(VLOOKUP("buildings|PM25|Non-fatal heart attacks", US_national_yearly!$D:$AM, 23, FALSE) / VLOOKUP("buildings|PM25|Non-fatal heart attacks", US_national_yearly!$D:$AM, 10, FALSE), 1)</f>
        <v>1.0589757408512148E-2</v>
      </c>
      <c r="P13" s="7">
        <f>$B13 * IFERROR(VLOOKUP("buildings|PM25|Non-fatal heart attacks", US_national_yearly!$D:$AM, 24, FALSE) / VLOOKUP("buildings|PM25|Non-fatal heart attacks", US_national_yearly!$D:$AM, 10, FALSE), 1)</f>
        <v>1.0705056833171606E-2</v>
      </c>
      <c r="Q13" s="7">
        <f>$B13 * IFERROR(VLOOKUP("buildings|PM25|Non-fatal heart attacks", US_national_yearly!$D:$AM, 25, FALSE) / VLOOKUP("buildings|PM25|Non-fatal heart attacks", US_national_yearly!$D:$AM, 10, FALSE), 1)</f>
        <v>1.0820356257831065E-2</v>
      </c>
      <c r="R13" s="7">
        <f>$B13 * IFERROR(VLOOKUP("buildings|PM25|Non-fatal heart attacks", US_national_yearly!$D:$AM, 26, FALSE) / VLOOKUP("buildings|PM25|Non-fatal heart attacks", US_national_yearly!$D:$AM, 10, FALSE), 1)</f>
        <v>1.0935655682490521E-2</v>
      </c>
      <c r="S13" s="7">
        <f>$B13 * IFERROR(VLOOKUP("buildings|PM25|Non-fatal heart attacks", US_national_yearly!$D:$AM, 27, FALSE) / VLOOKUP("buildings|PM25|Non-fatal heart attacks", US_national_yearly!$D:$AM, 10, FALSE), 1)</f>
        <v>1.0996638648367221E-2</v>
      </c>
      <c r="T13" s="7">
        <f>$B13 * IFERROR(VLOOKUP("buildings|PM25|Non-fatal heart attacks", US_national_yearly!$D:$AM, 28, FALSE) / VLOOKUP("buildings|PM25|Non-fatal heart attacks", US_national_yearly!$D:$AM, 10, FALSE), 1)</f>
        <v>1.1057621614243921E-2</v>
      </c>
      <c r="U13" s="7">
        <f>$B13 * IFERROR(VLOOKUP("buildings|PM25|Non-fatal heart attacks", US_national_yearly!$D:$AM, 29, FALSE) / VLOOKUP("buildings|PM25|Non-fatal heart attacks", US_national_yearly!$D:$AM, 10, FALSE), 1)</f>
        <v>1.1118604580120622E-2</v>
      </c>
      <c r="V13" s="7">
        <f>$B13 * IFERROR(VLOOKUP("buildings|PM25|Non-fatal heart attacks", US_national_yearly!$D:$AM, 30, FALSE) / VLOOKUP("buildings|PM25|Non-fatal heart attacks", US_national_yearly!$D:$AM, 10, FALSE), 1)</f>
        <v>1.117958754599732E-2</v>
      </c>
      <c r="W13" s="7">
        <f>$B13 * IFERROR(VLOOKUP("buildings|PM25|Non-fatal heart attacks", US_national_yearly!$D:$AM, 31, FALSE) / VLOOKUP("buildings|PM25|Non-fatal heart attacks", US_national_yearly!$D:$AM, 10, FALSE), 1)</f>
        <v>1.1240570511874021E-2</v>
      </c>
      <c r="X13" s="7">
        <f>$B13 * IFERROR(VLOOKUP("buildings|PM25|Non-fatal heart attacks", US_national_yearly!$D:$AM, 32, FALSE) / VLOOKUP("buildings|PM25|Non-fatal heart attacks", US_national_yearly!$D:$AM, 10, FALSE), 1)</f>
        <v>1.1286983002999733E-2</v>
      </c>
      <c r="Y13" s="7">
        <f>$B13 * IFERROR(VLOOKUP("buildings|PM25|Non-fatal heart attacks", US_national_yearly!$D:$AM, 33, FALSE) / VLOOKUP("buildings|PM25|Non-fatal heart attacks", US_national_yearly!$D:$AM, 10, FALSE), 1)</f>
        <v>1.1333395494125447E-2</v>
      </c>
      <c r="Z13" s="7">
        <f>$B13 * IFERROR(VLOOKUP("buildings|PM25|Non-fatal heart attacks", US_national_yearly!$D:$AM, 34, FALSE) / VLOOKUP("buildings|PM25|Non-fatal heart attacks", US_national_yearly!$D:$AM, 10, FALSE), 1)</f>
        <v>1.1379807985251157E-2</v>
      </c>
      <c r="AA13" s="7">
        <f>$B13 * IFERROR(VLOOKUP("buildings|PM25|Non-fatal heart attacks", US_national_yearly!$D:$AM, 35, FALSE) / VLOOKUP("buildings|PM25|Non-fatal heart attacks", US_national_yearly!$D:$AM, 10, FALSE), 1)</f>
        <v>1.1426220476376869E-2</v>
      </c>
      <c r="AB13" s="7">
        <f>$B13 * IFERROR(VLOOKUP("buildings|PM25|Non-fatal heart attacks", US_national_yearly!$D:$AM, 36, FALSE) / VLOOKUP("buildings|PM25|Non-fatal heart attacks", US_national_yearly!$D:$AM, 10, FALSE), 1)</f>
        <v>1.1472632967502585E-2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5.2882818732347223</v>
      </c>
      <c r="C14" s="7">
        <f>$B14 * IFERROR(VLOOKUP("buildings|PM25|Minor restricted activity days", US_national_yearly!$D:$AM, 11, FALSE) / VLOOKUP("buildings|PM25|Minor restricted activity days", US_national_yearly!$D:$AM, 10, FALSE), 1)</f>
        <v>5.3014341267275285</v>
      </c>
      <c r="D14" s="7">
        <f>$B14 * IFERROR(VLOOKUP("buildings|PM25|Minor restricted activity days", US_national_yearly!$D:$AM, 12, FALSE) / VLOOKUP("buildings|PM25|Minor restricted activity days", US_national_yearly!$D:$AM, 10, FALSE), 1)</f>
        <v>5.3145863802203355</v>
      </c>
      <c r="E14" s="7">
        <f>$B14 * IFERROR(VLOOKUP("buildings|PM25|Minor restricted activity days", US_national_yearly!$D:$AM, 13, FALSE) / VLOOKUP("buildings|PM25|Minor restricted activity days", US_national_yearly!$D:$AM, 10, FALSE), 1)</f>
        <v>5.3277386337131416</v>
      </c>
      <c r="F14" s="7">
        <f>$B14 * IFERROR(VLOOKUP("buildings|PM25|Minor restricted activity days", US_national_yearly!$D:$AM, 14, FALSE) / VLOOKUP("buildings|PM25|Minor restricted activity days", US_national_yearly!$D:$AM, 10, FALSE), 1)</f>
        <v>5.3408908872059468</v>
      </c>
      <c r="G14" s="7">
        <f>$B14 * IFERROR(VLOOKUP("buildings|PM25|Minor restricted activity days", US_national_yearly!$D:$AM, 15, FALSE) / VLOOKUP("buildings|PM25|Minor restricted activity days", US_national_yearly!$D:$AM, 10, FALSE), 1)</f>
        <v>5.3601812497701848</v>
      </c>
      <c r="H14" s="7">
        <f>$B14 * IFERROR(VLOOKUP("buildings|PM25|Minor restricted activity days", US_national_yearly!$D:$AM, 16, FALSE) / VLOOKUP("buildings|PM25|Minor restricted activity days", US_national_yearly!$D:$AM, 10, FALSE), 1)</f>
        <v>5.3794716123344202</v>
      </c>
      <c r="I14" s="7">
        <f>$B14 * IFERROR(VLOOKUP("buildings|PM25|Minor restricted activity days", US_national_yearly!$D:$AM, 17, FALSE) / VLOOKUP("buildings|PM25|Minor restricted activity days", US_national_yearly!$D:$AM, 10, FALSE), 1)</f>
        <v>5.4122738881598993</v>
      </c>
      <c r="J14" s="7">
        <f>$B14 * IFERROR(VLOOKUP("buildings|PM25|Minor restricted activity days", US_national_yearly!$D:$AM, 18, FALSE) / VLOOKUP("buildings|PM25|Minor restricted activity days", US_national_yearly!$D:$AM, 10, FALSE), 1)</f>
        <v>5.4450761639853811</v>
      </c>
      <c r="K14" s="7">
        <f>$B14 * IFERROR(VLOOKUP("buildings|PM25|Minor restricted activity days", US_national_yearly!$D:$AM, 19, FALSE) / VLOOKUP("buildings|PM25|Minor restricted activity days", US_national_yearly!$D:$AM, 10, FALSE), 1)</f>
        <v>5.4778784398108584</v>
      </c>
      <c r="L14" s="7">
        <f>$B14 * IFERROR(VLOOKUP("buildings|PM25|Minor restricted activity days", US_national_yearly!$D:$AM, 20, FALSE) / VLOOKUP("buildings|PM25|Minor restricted activity days", US_national_yearly!$D:$AM, 10, FALSE), 1)</f>
        <v>5.5106807156363367</v>
      </c>
      <c r="M14" s="7">
        <f>$B14 * IFERROR(VLOOKUP("buildings|PM25|Minor restricted activity days", US_national_yearly!$D:$AM, 21, FALSE) / VLOOKUP("buildings|PM25|Minor restricted activity days", US_national_yearly!$D:$AM, 10, FALSE), 1)</f>
        <v>5.5434829914618149</v>
      </c>
      <c r="N14" s="7">
        <f>$B14 * IFERROR(VLOOKUP("buildings|PM25|Minor restricted activity days", US_national_yearly!$D:$AM, 22, FALSE) / VLOOKUP("buildings|PM25|Minor restricted activity days", US_national_yearly!$D:$AM, 10, FALSE), 1)</f>
        <v>5.5880533703103676</v>
      </c>
      <c r="O14" s="7">
        <f>$B14 * IFERROR(VLOOKUP("buildings|PM25|Minor restricted activity days", US_national_yearly!$D:$AM, 23, FALSE) / VLOOKUP("buildings|PM25|Minor restricted activity days", US_national_yearly!$D:$AM, 10, FALSE), 1)</f>
        <v>5.6326237491589204</v>
      </c>
      <c r="P14" s="7">
        <f>$B14 * IFERROR(VLOOKUP("buildings|PM25|Minor restricted activity days", US_national_yearly!$D:$AM, 24, FALSE) / VLOOKUP("buildings|PM25|Minor restricted activity days", US_national_yearly!$D:$AM, 10, FALSE), 1)</f>
        <v>5.6771941280074723</v>
      </c>
      <c r="Q14" s="7">
        <f>$B14 * IFERROR(VLOOKUP("buildings|PM25|Minor restricted activity days", US_national_yearly!$D:$AM, 25, FALSE) / VLOOKUP("buildings|PM25|Minor restricted activity days", US_national_yearly!$D:$AM, 10, FALSE), 1)</f>
        <v>5.7217645068560241</v>
      </c>
      <c r="R14" s="7">
        <f>$B14 * IFERROR(VLOOKUP("buildings|PM25|Minor restricted activity days", US_national_yearly!$D:$AM, 26, FALSE) / VLOOKUP("buildings|PM25|Minor restricted activity days", US_national_yearly!$D:$AM, 10, FALSE), 1)</f>
        <v>5.7663348857045769</v>
      </c>
      <c r="S14" s="7">
        <f>$B14 * IFERROR(VLOOKUP("buildings|PM25|Minor restricted activity days", US_national_yearly!$D:$AM, 27, FALSE) / VLOOKUP("buildings|PM25|Minor restricted activity days", US_national_yearly!$D:$AM, 10, FALSE), 1)</f>
        <v>5.8111814696018973</v>
      </c>
      <c r="T14" s="7">
        <f>$B14 * IFERROR(VLOOKUP("buildings|PM25|Minor restricted activity days", US_national_yearly!$D:$AM, 28, FALSE) / VLOOKUP("buildings|PM25|Minor restricted activity days", US_national_yearly!$D:$AM, 10, FALSE), 1)</f>
        <v>5.856028053499216</v>
      </c>
      <c r="U14" s="7">
        <f>$B14 * IFERROR(VLOOKUP("buildings|PM25|Minor restricted activity days", US_national_yearly!$D:$AM, 29, FALSE) / VLOOKUP("buildings|PM25|Minor restricted activity days", US_national_yearly!$D:$AM, 10, FALSE), 1)</f>
        <v>5.9008746373965364</v>
      </c>
      <c r="V14" s="7">
        <f>$B14 * IFERROR(VLOOKUP("buildings|PM25|Minor restricted activity days", US_national_yearly!$D:$AM, 30, FALSE) / VLOOKUP("buildings|PM25|Minor restricted activity days", US_national_yearly!$D:$AM, 10, FALSE), 1)</f>
        <v>5.9457212212938559</v>
      </c>
      <c r="W14" s="7">
        <f>$B14 * IFERROR(VLOOKUP("buildings|PM25|Minor restricted activity days", US_national_yearly!$D:$AM, 31, FALSE) / VLOOKUP("buildings|PM25|Minor restricted activity days", US_national_yearly!$D:$AM, 10, FALSE), 1)</f>
        <v>5.9905678051911764</v>
      </c>
      <c r="X14" s="7">
        <f>$B14 * IFERROR(VLOOKUP("buildings|PM25|Minor restricted activity days", US_national_yearly!$D:$AM, 32, FALSE) / VLOOKUP("buildings|PM25|Minor restricted activity days", US_national_yearly!$D:$AM, 10, FALSE), 1)</f>
        <v>6.0295083446977333</v>
      </c>
      <c r="Y14" s="7">
        <f>$B14 * IFERROR(VLOOKUP("buildings|PM25|Minor restricted activity days", US_national_yearly!$D:$AM, 33, FALSE) / VLOOKUP("buildings|PM25|Minor restricted activity days", US_national_yearly!$D:$AM, 10, FALSE), 1)</f>
        <v>6.0684488842042885</v>
      </c>
      <c r="Z14" s="7">
        <f>$B14 * IFERROR(VLOOKUP("buildings|PM25|Minor restricted activity days", US_national_yearly!$D:$AM, 34, FALSE) / VLOOKUP("buildings|PM25|Minor restricted activity days", US_national_yearly!$D:$AM, 10, FALSE), 1)</f>
        <v>6.1073894237108437</v>
      </c>
      <c r="AA14" s="7">
        <f>$B14 * IFERROR(VLOOKUP("buildings|PM25|Minor restricted activity days", US_national_yearly!$D:$AM, 35, FALSE) / VLOOKUP("buildings|PM25|Minor restricted activity days", US_national_yearly!$D:$AM, 10, FALSE), 1)</f>
        <v>6.1463299632173998</v>
      </c>
      <c r="AB14" s="7">
        <f>$B14 * IFERROR(VLOOKUP("buildings|PM25|Minor restricted activity days", US_national_yearly!$D:$AM, 36, FALSE) / VLOOKUP("buildings|PM25|Minor restricted activity days", US_national_yearly!$D:$AM, 10, FALSE), 1)</f>
        <v>6.185270502723955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0.89394245852519982</v>
      </c>
      <c r="C15" s="7">
        <f>$B15 * IFERROR(VLOOKUP("buildings|PM25|Work loss days", US_national_yearly!$D:$AM, 11, FALSE) / VLOOKUP("buildings|PM25|Work loss days", US_national_yearly!$D:$AM, 10, FALSE), 1)</f>
        <v>0.89674784274778863</v>
      </c>
      <c r="D15" s="7">
        <f>$B15 * IFERROR(VLOOKUP("buildings|PM25|Work loss days", US_national_yearly!$D:$AM, 12, FALSE) / VLOOKUP("buildings|PM25|Work loss days", US_national_yearly!$D:$AM, 10, FALSE), 1)</f>
        <v>0.89955322697037732</v>
      </c>
      <c r="E15" s="7">
        <f>$B15 * IFERROR(VLOOKUP("buildings|PM25|Work loss days", US_national_yearly!$D:$AM, 13, FALSE) / VLOOKUP("buildings|PM25|Work loss days", US_national_yearly!$D:$AM, 10, FALSE), 1)</f>
        <v>0.9023586111929659</v>
      </c>
      <c r="F15" s="7">
        <f>$B15 * IFERROR(VLOOKUP("buildings|PM25|Work loss days", US_national_yearly!$D:$AM, 14, FALSE) / VLOOKUP("buildings|PM25|Work loss days", US_national_yearly!$D:$AM, 10, FALSE), 1)</f>
        <v>0.90516399541555459</v>
      </c>
      <c r="G15" s="7">
        <f>$B15 * IFERROR(VLOOKUP("buildings|PM25|Work loss days", US_national_yearly!$D:$AM, 15, FALSE) / VLOOKUP("buildings|PM25|Work loss days", US_national_yearly!$D:$AM, 10, FALSE), 1)</f>
        <v>0.90883088399656564</v>
      </c>
      <c r="H15" s="7">
        <f>$B15 * IFERROR(VLOOKUP("buildings|PM25|Work loss days", US_national_yearly!$D:$AM, 16, FALSE) / VLOOKUP("buildings|PM25|Work loss days", US_national_yearly!$D:$AM, 10, FALSE), 1)</f>
        <v>0.9124977725775768</v>
      </c>
      <c r="I15" s="7">
        <f>$B15 * IFERROR(VLOOKUP("buildings|PM25|Work loss days", US_national_yearly!$D:$AM, 17, FALSE) / VLOOKUP("buildings|PM25|Work loss days", US_national_yearly!$D:$AM, 10, FALSE), 1)</f>
        <v>0.91788320828156367</v>
      </c>
      <c r="J15" s="7">
        <f>$B15 * IFERROR(VLOOKUP("buildings|PM25|Work loss days", US_national_yearly!$D:$AM, 18, FALSE) / VLOOKUP("buildings|PM25|Work loss days", US_national_yearly!$D:$AM, 10, FALSE), 1)</f>
        <v>0.92326864398555053</v>
      </c>
      <c r="K15" s="7">
        <f>$B15 * IFERROR(VLOOKUP("buildings|PM25|Work loss days", US_national_yearly!$D:$AM, 19, FALSE) / VLOOKUP("buildings|PM25|Work loss days", US_national_yearly!$D:$AM, 10, FALSE), 1)</f>
        <v>0.9286540796895375</v>
      </c>
      <c r="L15" s="7">
        <f>$B15 * IFERROR(VLOOKUP("buildings|PM25|Work loss days", US_national_yearly!$D:$AM, 20, FALSE) / VLOOKUP("buildings|PM25|Work loss days", US_national_yearly!$D:$AM, 10, FALSE), 1)</f>
        <v>0.93403951539352437</v>
      </c>
      <c r="M15" s="7">
        <f>$B15 * IFERROR(VLOOKUP("buildings|PM25|Work loss days", US_national_yearly!$D:$AM, 21, FALSE) / VLOOKUP("buildings|PM25|Work loss days", US_national_yearly!$D:$AM, 10, FALSE), 1)</f>
        <v>0.93942495109751145</v>
      </c>
      <c r="N15" s="7">
        <f>$B15 * IFERROR(VLOOKUP("buildings|PM25|Work loss days", US_national_yearly!$D:$AM, 22, FALSE) / VLOOKUP("buildings|PM25|Work loss days", US_national_yearly!$D:$AM, 10, FALSE), 1)</f>
        <v>0.94619587322519849</v>
      </c>
      <c r="O15" s="7">
        <f>$B15 * IFERROR(VLOOKUP("buildings|PM25|Work loss days", US_national_yearly!$D:$AM, 23, FALSE) / VLOOKUP("buildings|PM25|Work loss days", US_national_yearly!$D:$AM, 10, FALSE), 1)</f>
        <v>0.95296679535288586</v>
      </c>
      <c r="P15" s="7">
        <f>$B15 * IFERROR(VLOOKUP("buildings|PM25|Work loss days", US_national_yearly!$D:$AM, 24, FALSE) / VLOOKUP("buildings|PM25|Work loss days", US_national_yearly!$D:$AM, 10, FALSE), 1)</f>
        <v>0.9597377174805729</v>
      </c>
      <c r="Q15" s="7">
        <f>$B15 * IFERROR(VLOOKUP("buildings|PM25|Work loss days", US_national_yearly!$D:$AM, 25, FALSE) / VLOOKUP("buildings|PM25|Work loss days", US_national_yearly!$D:$AM, 10, FALSE), 1)</f>
        <v>0.96650863960826006</v>
      </c>
      <c r="R15" s="7">
        <f>$B15 * IFERROR(VLOOKUP("buildings|PM25|Work loss days", US_national_yearly!$D:$AM, 26, FALSE) / VLOOKUP("buildings|PM25|Work loss days", US_national_yearly!$D:$AM, 10, FALSE), 1)</f>
        <v>0.97327956173594732</v>
      </c>
      <c r="S15" s="7">
        <f>$B15 * IFERROR(VLOOKUP("buildings|PM25|Work loss days", US_national_yearly!$D:$AM, 27, FALSE) / VLOOKUP("buildings|PM25|Work loss days", US_national_yearly!$D:$AM, 10, FALSE), 1)</f>
        <v>0.98075888673927003</v>
      </c>
      <c r="T15" s="7">
        <f>$B15 * IFERROR(VLOOKUP("buildings|PM25|Work loss days", US_national_yearly!$D:$AM, 28, FALSE) / VLOOKUP("buildings|PM25|Work loss days", US_national_yearly!$D:$AM, 10, FALSE), 1)</f>
        <v>0.98823821174259296</v>
      </c>
      <c r="U15" s="7">
        <f>$B15 * IFERROR(VLOOKUP("buildings|PM25|Work loss days", US_national_yearly!$D:$AM, 29, FALSE) / VLOOKUP("buildings|PM25|Work loss days", US_national_yearly!$D:$AM, 10, FALSE), 1)</f>
        <v>0.9957175367459159</v>
      </c>
      <c r="V15" s="7">
        <f>$B15 * IFERROR(VLOOKUP("buildings|PM25|Work loss days", US_national_yearly!$D:$AM, 30, FALSE) / VLOOKUP("buildings|PM25|Work loss days", US_national_yearly!$D:$AM, 10, FALSE), 1)</f>
        <v>1.0031968617492386</v>
      </c>
      <c r="W15" s="7">
        <f>$B15 * IFERROR(VLOOKUP("buildings|PM25|Work loss days", US_national_yearly!$D:$AM, 31, FALSE) / VLOOKUP("buildings|PM25|Work loss days", US_national_yearly!$D:$AM, 10, FALSE), 1)</f>
        <v>1.0106761867525615</v>
      </c>
      <c r="X15" s="7">
        <f>$B15 * IFERROR(VLOOKUP("buildings|PM25|Work loss days", US_national_yearly!$D:$AM, 32, FALSE) / VLOOKUP("buildings|PM25|Work loss days", US_national_yearly!$D:$AM, 10, FALSE), 1)</f>
        <v>1.0173133748429533</v>
      </c>
      <c r="Y15" s="7">
        <f>$B15 * IFERROR(VLOOKUP("buildings|PM25|Work loss days", US_national_yearly!$D:$AM, 33, FALSE) / VLOOKUP("buildings|PM25|Work loss days", US_national_yearly!$D:$AM, 10, FALSE), 1)</f>
        <v>1.0239505629333452</v>
      </c>
      <c r="Z15" s="7">
        <f>$B15 * IFERROR(VLOOKUP("buildings|PM25|Work loss days", US_national_yearly!$D:$AM, 34, FALSE) / VLOOKUP("buildings|PM25|Work loss days", US_national_yearly!$D:$AM, 10, FALSE), 1)</f>
        <v>1.0305877510237369</v>
      </c>
      <c r="AA15" s="7">
        <f>$B15 * IFERROR(VLOOKUP("buildings|PM25|Work loss days", US_national_yearly!$D:$AM, 35, FALSE) / VLOOKUP("buildings|PM25|Work loss days", US_national_yearly!$D:$AM, 10, FALSE), 1)</f>
        <v>1.0372249391141288</v>
      </c>
      <c r="AB15" s="7">
        <f>$B15 * IFERROR(VLOOKUP("buildings|PM25|Work loss days", US_national_yearly!$D:$AM, 36, FALSE) / VLOOKUP("buildings|PM25|Work loss days", US_national_yearly!$D:$AM, 10, FALSE), 1)</f>
        <v>1.0438621272045205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2.2263513359710115E-3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2.2928888438837284E-3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2.3594263517964448E-3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2.4259638597091612E-3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2.4925013676218776E-3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2.5562543720688696E-3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2.6200073765158612E-3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2.674585814115837E-3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2.7291642517158123E-3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2.7837426893157886E-3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2.8383211269157643E-3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2.8928995645157406E-3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2.9293443598591251E-3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2.9657891552025101E-3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3.0022339505458946E-3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3.0386787458892795E-3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3.0751235412326645E-3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3.0944890823952778E-3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3.1138546235578912E-3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3.1332201647205045E-3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3.1525857058831179E-3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3.1719512470457321E-3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3.185045383490394E-3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3.198139519935056E-3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3.2112336563797179E-3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3.2243277928243794E-3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3.2374219292690418E-3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8.5703845501900345E-4</v>
      </c>
      <c r="C2" s="7">
        <f>$B2 * IFERROR(VLOOKUP("buildings|NOx|Premature mortality", US_national_yearly!$D:$AM, 11, FALSE) / VLOOKUP("buildings|NOx|Premature mortality", US_national_yearly!$D:$AM, 10, FALSE), 1)</f>
        <v>8.6964436277635609E-4</v>
      </c>
      <c r="D2" s="7">
        <f>$B2 * IFERROR(VLOOKUP("buildings|NOx|Premature mortality", US_national_yearly!$D:$AM, 12, FALSE) / VLOOKUP("buildings|NOx|Premature mortality", US_national_yearly!$D:$AM, 10, FALSE), 1)</f>
        <v>8.822502705337085E-4</v>
      </c>
      <c r="E2" s="7">
        <f>$B2 * IFERROR(VLOOKUP("buildings|NOx|Premature mortality", US_national_yearly!$D:$AM, 13, FALSE) / VLOOKUP("buildings|NOx|Premature mortality", US_national_yearly!$D:$AM, 10, FALSE), 1)</f>
        <v>8.9485617829106114E-4</v>
      </c>
      <c r="F2" s="7">
        <f>$B2 * IFERROR(VLOOKUP("buildings|NOx|Premature mortality", US_national_yearly!$D:$AM, 14, FALSE) / VLOOKUP("buildings|NOx|Premature mortality", US_national_yearly!$D:$AM, 10, FALSE), 1)</f>
        <v>9.0746208604841356E-4</v>
      </c>
      <c r="G2" s="7">
        <f>$B2 * IFERROR(VLOOKUP("buildings|NOx|Premature mortality", US_national_yearly!$D:$AM, 15, FALSE) / VLOOKUP("buildings|NOx|Premature mortality", US_national_yearly!$D:$AM, 10, FALSE), 1)</f>
        <v>9.300942584796355E-4</v>
      </c>
      <c r="H2" s="7">
        <f>$B2 * IFERROR(VLOOKUP("buildings|NOx|Premature mortality", US_national_yearly!$D:$AM, 16, FALSE) / VLOOKUP("buildings|NOx|Premature mortality", US_national_yearly!$D:$AM, 10, FALSE), 1)</f>
        <v>9.5272643091085765E-4</v>
      </c>
      <c r="I2" s="7">
        <f>$B2 * IFERROR(VLOOKUP("buildings|NOx|Premature mortality", US_national_yearly!$D:$AM, 17, FALSE) / VLOOKUP("buildings|NOx|Premature mortality", US_national_yearly!$D:$AM, 10, FALSE), 1)</f>
        <v>9.6735255988263135E-4</v>
      </c>
      <c r="J2" s="7">
        <f>$B2 * IFERROR(VLOOKUP("buildings|NOx|Premature mortality", US_national_yearly!$D:$AM, 18, FALSE) / VLOOKUP("buildings|NOx|Premature mortality", US_national_yearly!$D:$AM, 10, FALSE), 1)</f>
        <v>9.8197868885440483E-4</v>
      </c>
      <c r="K2" s="7">
        <f>$B2 * IFERROR(VLOOKUP("buildings|NOx|Premature mortality", US_national_yearly!$D:$AM, 19, FALSE) / VLOOKUP("buildings|NOx|Premature mortality", US_national_yearly!$D:$AM, 10, FALSE), 1)</f>
        <v>9.9660481782617842E-4</v>
      </c>
      <c r="L2" s="7">
        <f>$B2 * IFERROR(VLOOKUP("buildings|NOx|Premature mortality", US_national_yearly!$D:$AM, 20, FALSE) / VLOOKUP("buildings|NOx|Premature mortality", US_national_yearly!$D:$AM, 10, FALSE), 1)</f>
        <v>1.0112309467979522E-3</v>
      </c>
      <c r="M2" s="7">
        <f>$B2 * IFERROR(VLOOKUP("buildings|NOx|Premature mortality", US_national_yearly!$D:$AM, 21, FALSE) / VLOOKUP("buildings|NOx|Premature mortality", US_national_yearly!$D:$AM, 10, FALSE), 1)</f>
        <v>1.0258570757697258E-3</v>
      </c>
      <c r="N2" s="7">
        <f>$B2 * IFERROR(VLOOKUP("buildings|NOx|Premature mortality", US_national_yearly!$D:$AM, 22, FALSE) / VLOOKUP("buildings|NOx|Premature mortality", US_national_yearly!$D:$AM, 10, FALSE), 1)</f>
        <v>1.0366944790132552E-3</v>
      </c>
      <c r="O2" s="7">
        <f>$B2 * IFERROR(VLOOKUP("buildings|NOx|Premature mortality", US_national_yearly!$D:$AM, 23, FALSE) / VLOOKUP("buildings|NOx|Premature mortality", US_national_yearly!$D:$AM, 10, FALSE), 1)</f>
        <v>1.0475318822567848E-3</v>
      </c>
      <c r="P2" s="7">
        <f>$B2 * IFERROR(VLOOKUP("buildings|NOx|Premature mortality", US_national_yearly!$D:$AM, 24, FALSE) / VLOOKUP("buildings|NOx|Premature mortality", US_national_yearly!$D:$AM, 10, FALSE), 1)</f>
        <v>1.0583692855003143E-3</v>
      </c>
      <c r="Q2" s="7">
        <f>$B2 * IFERROR(VLOOKUP("buildings|NOx|Premature mortality", US_national_yearly!$D:$AM, 25, FALSE) / VLOOKUP("buildings|NOx|Premature mortality", US_national_yearly!$D:$AM, 10, FALSE), 1)</f>
        <v>1.0692066887438437E-3</v>
      </c>
      <c r="R2" s="7">
        <f>$B2 * IFERROR(VLOOKUP("buildings|NOx|Premature mortality", US_national_yearly!$D:$AM, 26, FALSE) / VLOOKUP("buildings|NOx|Premature mortality", US_national_yearly!$D:$AM, 10, FALSE), 1)</f>
        <v>1.0800440919873733E-3</v>
      </c>
      <c r="S2" s="7">
        <f>$B2 * IFERROR(VLOOKUP("buildings|NOx|Premature mortality", US_national_yearly!$D:$AM, 27, FALSE) / VLOOKUP("buildings|NOx|Premature mortality", US_national_yearly!$D:$AM, 10, FALSE), 1)</f>
        <v>1.0849712027739293E-3</v>
      </c>
      <c r="T2" s="7">
        <f>$B2 * IFERROR(VLOOKUP("buildings|NOx|Premature mortality", US_national_yearly!$D:$AM, 28, FALSE) / VLOOKUP("buildings|NOx|Premature mortality", US_national_yearly!$D:$AM, 10, FALSE), 1)</f>
        <v>1.089898313560485E-3</v>
      </c>
      <c r="U2" s="7">
        <f>$B2 * IFERROR(VLOOKUP("buildings|NOx|Premature mortality", US_national_yearly!$D:$AM, 29, FALSE) / VLOOKUP("buildings|NOx|Premature mortality", US_national_yearly!$D:$AM, 10, FALSE), 1)</f>
        <v>1.0948254243470412E-3</v>
      </c>
      <c r="V2" s="7">
        <f>$B2 * IFERROR(VLOOKUP("buildings|NOx|Premature mortality", US_national_yearly!$D:$AM, 30, FALSE) / VLOOKUP("buildings|NOx|Premature mortality", US_national_yearly!$D:$AM, 10, FALSE), 1)</f>
        <v>1.0997525351335972E-3</v>
      </c>
      <c r="W2" s="7">
        <f>$B2 * IFERROR(VLOOKUP("buildings|NOx|Premature mortality", US_national_yearly!$D:$AM, 31, FALSE) / VLOOKUP("buildings|NOx|Premature mortality", US_national_yearly!$D:$AM, 10, FALSE), 1)</f>
        <v>1.104679645920153E-3</v>
      </c>
      <c r="X2" s="7">
        <f>$B2 * IFERROR(VLOOKUP("buildings|NOx|Premature mortality", US_national_yearly!$D:$AM, 32, FALSE) / VLOOKUP("buildings|NOx|Premature mortality", US_national_yearly!$D:$AM, 10, FALSE), 1)</f>
        <v>1.1048531747456297E-3</v>
      </c>
      <c r="Y2" s="7">
        <f>$B2 * IFERROR(VLOOKUP("buildings|NOx|Premature mortality", US_national_yearly!$D:$AM, 33, FALSE) / VLOOKUP("buildings|NOx|Premature mortality", US_national_yearly!$D:$AM, 10, FALSE), 1)</f>
        <v>1.1050267035711062E-3</v>
      </c>
      <c r="Z2" s="7">
        <f>$B2 * IFERROR(VLOOKUP("buildings|NOx|Premature mortality", US_national_yearly!$D:$AM, 34, FALSE) / VLOOKUP("buildings|NOx|Premature mortality", US_national_yearly!$D:$AM, 10, FALSE), 1)</f>
        <v>1.1052002323965826E-3</v>
      </c>
      <c r="AA2" s="7">
        <f>$B2 * IFERROR(VLOOKUP("buildings|NOx|Premature mortality", US_national_yearly!$D:$AM, 35, FALSE) / VLOOKUP("buildings|NOx|Premature mortality", US_national_yearly!$D:$AM, 10, FALSE), 1)</f>
        <v>1.1053737612220589E-3</v>
      </c>
      <c r="AB2" s="7">
        <f>$B2 * IFERROR(VLOOKUP("buildings|NOx|Premature mortality", US_national_yearly!$D:$AM, 36, FALSE) / VLOOKUP("buildings|NOx|Premature mortality", US_national_yearly!$D:$AM, 10, FALSE), 1)</f>
        <v>1.1055472900475358E-3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1.9677349369196858E-6</v>
      </c>
      <c r="C3" s="7">
        <f>$B3 * IFERROR(VLOOKUP("buildings|NOx|Infant mortality", US_national_yearly!$D:$AM, 11, FALSE) / VLOOKUP("buildings|NOx|Infant mortality", US_national_yearly!$D:$AM, 10, FALSE), 1)</f>
        <v>1.9490437644246166E-6</v>
      </c>
      <c r="D3" s="7">
        <f>$B3 * IFERROR(VLOOKUP("buildings|NOx|Infant mortality", US_national_yearly!$D:$AM, 12, FALSE) / VLOOKUP("buildings|NOx|Infant mortality", US_national_yearly!$D:$AM, 10, FALSE), 1)</f>
        <v>1.9303525919295465E-6</v>
      </c>
      <c r="E3" s="7">
        <f>$B3 * IFERROR(VLOOKUP("buildings|NOx|Infant mortality", US_national_yearly!$D:$AM, 13, FALSE) / VLOOKUP("buildings|NOx|Infant mortality", US_national_yearly!$D:$AM, 10, FALSE), 1)</f>
        <v>1.9116614194344773E-6</v>
      </c>
      <c r="F3" s="7">
        <f>$B3 * IFERROR(VLOOKUP("buildings|NOx|Infant mortality", US_national_yearly!$D:$AM, 14, FALSE) / VLOOKUP("buildings|NOx|Infant mortality", US_national_yearly!$D:$AM, 10, FALSE), 1)</f>
        <v>1.8929702469394072E-6</v>
      </c>
      <c r="G3" s="7">
        <f>$B3 * IFERROR(VLOOKUP("buildings|NOx|Infant mortality", US_national_yearly!$D:$AM, 15, FALSE) / VLOOKUP("buildings|NOx|Infant mortality", US_national_yearly!$D:$AM, 10, FALSE), 1)</f>
        <v>1.2564352391191652E-6</v>
      </c>
      <c r="H3" s="7">
        <f>$B3 * IFERROR(VLOOKUP("buildings|NOx|Infant mortality", US_national_yearly!$D:$AM, 16, FALSE) / VLOOKUP("buildings|NOx|Infant mortality", US_national_yearly!$D:$AM, 10, FALSE), 1)</f>
        <v>6.199002312989233E-7</v>
      </c>
      <c r="I3" s="7">
        <f>$B3 * IFERROR(VLOOKUP("buildings|NOx|Infant mortality", US_national_yearly!$D:$AM, 17, FALSE) / VLOOKUP("buildings|NOx|Infant mortality", US_national_yearly!$D:$AM, 10, FALSE), 1)</f>
        <v>6.1552090992729949E-7</v>
      </c>
      <c r="J3" s="7">
        <f>$B3 * IFERROR(VLOOKUP("buildings|NOx|Infant mortality", US_national_yearly!$D:$AM, 18, FALSE) / VLOOKUP("buildings|NOx|Infant mortality", US_national_yearly!$D:$AM, 10, FALSE), 1)</f>
        <v>6.1114158855567558E-7</v>
      </c>
      <c r="K3" s="7">
        <f>$B3 * IFERROR(VLOOKUP("buildings|NOx|Infant mortality", US_national_yearly!$D:$AM, 19, FALSE) / VLOOKUP("buildings|NOx|Infant mortality", US_national_yearly!$D:$AM, 10, FALSE), 1)</f>
        <v>6.0676226718405177E-7</v>
      </c>
      <c r="L3" s="7">
        <f>$B3 * IFERROR(VLOOKUP("buildings|NOx|Infant mortality", US_national_yearly!$D:$AM, 20, FALSE) / VLOOKUP("buildings|NOx|Infant mortality", US_national_yearly!$D:$AM, 10, FALSE), 1)</f>
        <v>6.0238294581242796E-7</v>
      </c>
      <c r="M3" s="7">
        <f>$B3 * IFERROR(VLOOKUP("buildings|NOx|Infant mortality", US_national_yearly!$D:$AM, 21, FALSE) / VLOOKUP("buildings|NOx|Infant mortality", US_national_yearly!$D:$AM, 10, FALSE), 1)</f>
        <v>5.9800362444080404E-7</v>
      </c>
      <c r="N3" s="7">
        <f>$B3 * IFERROR(VLOOKUP("buildings|NOx|Infant mortality", US_national_yearly!$D:$AM, 22, FALSE) / VLOOKUP("buildings|NOx|Infant mortality", US_national_yearly!$D:$AM, 10, FALSE), 1)</f>
        <v>5.9510169336571222E-7</v>
      </c>
      <c r="O3" s="7">
        <f>$B3 * IFERROR(VLOOKUP("buildings|NOx|Infant mortality", US_national_yearly!$D:$AM, 23, FALSE) / VLOOKUP("buildings|NOx|Infant mortality", US_national_yearly!$D:$AM, 10, FALSE), 1)</f>
        <v>5.921997622906204E-7</v>
      </c>
      <c r="P3" s="7">
        <f>$B3 * IFERROR(VLOOKUP("buildings|NOx|Infant mortality", US_national_yearly!$D:$AM, 24, FALSE) / VLOOKUP("buildings|NOx|Infant mortality", US_national_yearly!$D:$AM, 10, FALSE), 1)</f>
        <v>5.8929783121552858E-7</v>
      </c>
      <c r="Q3" s="7">
        <f>$B3 * IFERROR(VLOOKUP("buildings|NOx|Infant mortality", US_national_yearly!$D:$AM, 25, FALSE) / VLOOKUP("buildings|NOx|Infant mortality", US_national_yearly!$D:$AM, 10, FALSE), 1)</f>
        <v>5.8639590014043686E-7</v>
      </c>
      <c r="R3" s="7">
        <f>$B3 * IFERROR(VLOOKUP("buildings|NOx|Infant mortality", US_national_yearly!$D:$AM, 26, FALSE) / VLOOKUP("buildings|NOx|Infant mortality", US_national_yearly!$D:$AM, 10, FALSE), 1)</f>
        <v>5.8349396906534504E-7</v>
      </c>
      <c r="S3" s="7">
        <f>$B3 * IFERROR(VLOOKUP("buildings|NOx|Infant mortality", US_national_yearly!$D:$AM, 27, FALSE) / VLOOKUP("buildings|NOx|Infant mortality", US_national_yearly!$D:$AM, 10, FALSE), 1)</f>
        <v>5.8000313132204826E-7</v>
      </c>
      <c r="T3" s="7">
        <f>$B3 * IFERROR(VLOOKUP("buildings|NOx|Infant mortality", US_national_yearly!$D:$AM, 28, FALSE) / VLOOKUP("buildings|NOx|Infant mortality", US_national_yearly!$D:$AM, 10, FALSE), 1)</f>
        <v>5.7651229357875149E-7</v>
      </c>
      <c r="U3" s="7">
        <f>$B3 * IFERROR(VLOOKUP("buildings|NOx|Infant mortality", US_national_yearly!$D:$AM, 29, FALSE) / VLOOKUP("buildings|NOx|Infant mortality", US_national_yearly!$D:$AM, 10, FALSE), 1)</f>
        <v>5.7302145583545471E-7</v>
      </c>
      <c r="V3" s="7">
        <f>$B3 * IFERROR(VLOOKUP("buildings|NOx|Infant mortality", US_national_yearly!$D:$AM, 30, FALSE) / VLOOKUP("buildings|NOx|Infant mortality", US_national_yearly!$D:$AM, 10, FALSE), 1)</f>
        <v>5.6953061809215794E-7</v>
      </c>
      <c r="W3" s="7">
        <f>$B3 * IFERROR(VLOOKUP("buildings|NOx|Infant mortality", US_national_yearly!$D:$AM, 31, FALSE) / VLOOKUP("buildings|NOx|Infant mortality", US_national_yearly!$D:$AM, 10, FALSE), 1)</f>
        <v>5.6603978034886116E-7</v>
      </c>
      <c r="X3" s="7">
        <f>$B3 * IFERROR(VLOOKUP("buildings|NOx|Infant mortality", US_national_yearly!$D:$AM, 32, FALSE) / VLOOKUP("buildings|NOx|Infant mortality", US_national_yearly!$D:$AM, 10, FALSE), 1)</f>
        <v>5.6234616806501875E-7</v>
      </c>
      <c r="Y3" s="7">
        <f>$B3 * IFERROR(VLOOKUP("buildings|NOx|Infant mortality", US_national_yearly!$D:$AM, 33, FALSE) / VLOOKUP("buildings|NOx|Infant mortality", US_national_yearly!$D:$AM, 10, FALSE), 1)</f>
        <v>5.5865255578117645E-7</v>
      </c>
      <c r="Z3" s="7">
        <f>$B3 * IFERROR(VLOOKUP("buildings|NOx|Infant mortality", US_national_yearly!$D:$AM, 34, FALSE) / VLOOKUP("buildings|NOx|Infant mortality", US_national_yearly!$D:$AM, 10, FALSE), 1)</f>
        <v>5.5495894349733393E-7</v>
      </c>
      <c r="AA3" s="7">
        <f>$B3 * IFERROR(VLOOKUP("buildings|NOx|Infant mortality", US_national_yearly!$D:$AM, 35, FALSE) / VLOOKUP("buildings|NOx|Infant mortality", US_national_yearly!$D:$AM, 10, FALSE), 1)</f>
        <v>5.5126533121349152E-7</v>
      </c>
      <c r="AB3" s="7">
        <f>$B3 * IFERROR(VLOOKUP("buildings|NOx|Infant mortality", US_national_yearly!$D:$AM, 36, FALSE) / VLOOKUP("buildings|NOx|Infant mortality", US_national_yearly!$D:$AM, 10, FALSE), 1)</f>
        <v>5.47571718929649E-7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1.8869048488751488E-3</v>
      </c>
      <c r="C6" s="7">
        <f>$B6 * IFERROR(VLOOKUP("buildings|NOx|Asthma symptoms cough", US_national_yearly!$D:$AM, 11, FALSE) / VLOOKUP("buildings|NOx|Asthma symptoms cough", US_national_yearly!$D:$AM, 10, FALSE), 1)</f>
        <v>1.9127276556899979E-3</v>
      </c>
      <c r="D6" s="7">
        <f>$B6 * IFERROR(VLOOKUP("buildings|NOx|Asthma symptoms cough", US_national_yearly!$D:$AM, 12, FALSE) / VLOOKUP("buildings|NOx|Asthma symptoms cough", US_national_yearly!$D:$AM, 10, FALSE), 1)</f>
        <v>1.9385504625048474E-3</v>
      </c>
      <c r="E6" s="7">
        <f>$B6 * IFERROR(VLOOKUP("buildings|NOx|Asthma symptoms cough", US_national_yearly!$D:$AM, 13, FALSE) / VLOOKUP("buildings|NOx|Asthma symptoms cough", US_national_yearly!$D:$AM, 10, FALSE), 1)</f>
        <v>1.9643732693196965E-3</v>
      </c>
      <c r="F6" s="7">
        <f>$B6 * IFERROR(VLOOKUP("buildings|NOx|Asthma symptoms cough", US_national_yearly!$D:$AM, 14, FALSE) / VLOOKUP("buildings|NOx|Asthma symptoms cough", US_national_yearly!$D:$AM, 10, FALSE), 1)</f>
        <v>1.9901960761345458E-3</v>
      </c>
      <c r="G6" s="7">
        <f>$B6 * IFERROR(VLOOKUP("buildings|NOx|Asthma symptoms cough", US_national_yearly!$D:$AM, 15, FALSE) / VLOOKUP("buildings|NOx|Asthma symptoms cough", US_national_yearly!$D:$AM, 10, FALSE), 1)</f>
        <v>2.0108333374472018E-3</v>
      </c>
      <c r="H6" s="7">
        <f>$B6 * IFERROR(VLOOKUP("buildings|NOx|Asthma symptoms cough", US_national_yearly!$D:$AM, 16, FALSE) / VLOOKUP("buildings|NOx|Asthma symptoms cough", US_national_yearly!$D:$AM, 10, FALSE), 1)</f>
        <v>2.0314705987598582E-3</v>
      </c>
      <c r="I6" s="7">
        <f>$B6 * IFERROR(VLOOKUP("buildings|NOx|Asthma symptoms cough", US_national_yearly!$D:$AM, 17, FALSE) / VLOOKUP("buildings|NOx|Asthma symptoms cough", US_national_yearly!$D:$AM, 10, FALSE), 1)</f>
        <v>2.0386125453816183E-3</v>
      </c>
      <c r="J6" s="7">
        <f>$B6 * IFERROR(VLOOKUP("buildings|NOx|Asthma symptoms cough", US_national_yearly!$D:$AM, 18, FALSE) / VLOOKUP("buildings|NOx|Asthma symptoms cough", US_national_yearly!$D:$AM, 10, FALSE), 1)</f>
        <v>2.0457544920033789E-3</v>
      </c>
      <c r="K6" s="7">
        <f>$B6 * IFERROR(VLOOKUP("buildings|NOx|Asthma symptoms cough", US_national_yearly!$D:$AM, 19, FALSE) / VLOOKUP("buildings|NOx|Asthma symptoms cough", US_national_yearly!$D:$AM, 10, FALSE), 1)</f>
        <v>2.0528964386251386E-3</v>
      </c>
      <c r="L6" s="7">
        <f>$B6 * IFERROR(VLOOKUP("buildings|NOx|Asthma symptoms cough", US_national_yearly!$D:$AM, 20, FALSE) / VLOOKUP("buildings|NOx|Asthma symptoms cough", US_national_yearly!$D:$AM, 10, FALSE), 1)</f>
        <v>2.0600383852468992E-3</v>
      </c>
      <c r="M6" s="7">
        <f>$B6 * IFERROR(VLOOKUP("buildings|NOx|Asthma symptoms cough", US_national_yearly!$D:$AM, 21, FALSE) / VLOOKUP("buildings|NOx|Asthma symptoms cough", US_national_yearly!$D:$AM, 10, FALSE), 1)</f>
        <v>2.0671803318686589E-3</v>
      </c>
      <c r="N6" s="7">
        <f>$B6 * IFERROR(VLOOKUP("buildings|NOx|Asthma symptoms cough", US_national_yearly!$D:$AM, 22, FALSE) / VLOOKUP("buildings|NOx|Asthma symptoms cough", US_national_yearly!$D:$AM, 10, FALSE), 1)</f>
        <v>2.0754386526546029E-3</v>
      </c>
      <c r="O6" s="7">
        <f>$B6 * IFERROR(VLOOKUP("buildings|NOx|Asthma symptoms cough", US_national_yearly!$D:$AM, 23, FALSE) / VLOOKUP("buildings|NOx|Asthma symptoms cough", US_national_yearly!$D:$AM, 10, FALSE), 1)</f>
        <v>2.0836969734405464E-3</v>
      </c>
      <c r="P6" s="7">
        <f>$B6 * IFERROR(VLOOKUP("buildings|NOx|Asthma symptoms cough", US_national_yearly!$D:$AM, 24, FALSE) / VLOOKUP("buildings|NOx|Asthma symptoms cough", US_national_yearly!$D:$AM, 10, FALSE), 1)</f>
        <v>2.0919552942264899E-3</v>
      </c>
      <c r="Q6" s="7">
        <f>$B6 * IFERROR(VLOOKUP("buildings|NOx|Asthma symptoms cough", US_national_yearly!$D:$AM, 25, FALSE) / VLOOKUP("buildings|NOx|Asthma symptoms cough", US_national_yearly!$D:$AM, 10, FALSE), 1)</f>
        <v>2.1002136150124339E-3</v>
      </c>
      <c r="R6" s="7">
        <f>$B6 * IFERROR(VLOOKUP("buildings|NOx|Asthma symptoms cough", US_national_yearly!$D:$AM, 26, FALSE) / VLOOKUP("buildings|NOx|Asthma symptoms cough", US_national_yearly!$D:$AM, 10, FALSE), 1)</f>
        <v>2.1084719357983774E-3</v>
      </c>
      <c r="S6" s="7">
        <f>$B6 * IFERROR(VLOOKUP("buildings|NOx|Asthma symptoms cough", US_national_yearly!$D:$AM, 27, FALSE) / VLOOKUP("buildings|NOx|Asthma symptoms cough", US_national_yearly!$D:$AM, 10, FALSE), 1)</f>
        <v>2.1192574777612392E-3</v>
      </c>
      <c r="T6" s="7">
        <f>$B6 * IFERROR(VLOOKUP("buildings|NOx|Asthma symptoms cough", US_national_yearly!$D:$AM, 28, FALSE) / VLOOKUP("buildings|NOx|Asthma symptoms cough", US_national_yearly!$D:$AM, 10, FALSE), 1)</f>
        <v>2.1300430197241003E-3</v>
      </c>
      <c r="U6" s="7">
        <f>$B6 * IFERROR(VLOOKUP("buildings|NOx|Asthma symptoms cough", US_national_yearly!$D:$AM, 29, FALSE) / VLOOKUP("buildings|NOx|Asthma symptoms cough", US_national_yearly!$D:$AM, 10, FALSE), 1)</f>
        <v>2.1408285616869613E-3</v>
      </c>
      <c r="V6" s="7">
        <f>$B6 * IFERROR(VLOOKUP("buildings|NOx|Asthma symptoms cough", US_national_yearly!$D:$AM, 30, FALSE) / VLOOKUP("buildings|NOx|Asthma symptoms cough", US_national_yearly!$D:$AM, 10, FALSE), 1)</f>
        <v>2.1516141036498236E-3</v>
      </c>
      <c r="W6" s="7">
        <f>$B6 * IFERROR(VLOOKUP("buildings|NOx|Asthma symptoms cough", US_national_yearly!$D:$AM, 31, FALSE) / VLOOKUP("buildings|NOx|Asthma symptoms cough", US_national_yearly!$D:$AM, 10, FALSE), 1)</f>
        <v>2.1623996456126846E-3</v>
      </c>
      <c r="X6" s="7">
        <f>$B6 * IFERROR(VLOOKUP("buildings|NOx|Asthma symptoms cough", US_national_yearly!$D:$AM, 32, FALSE) / VLOOKUP("buildings|NOx|Asthma symptoms cough", US_national_yearly!$D:$AM, 10, FALSE), 1)</f>
        <v>2.1724208982154924E-3</v>
      </c>
      <c r="Y6" s="7">
        <f>$B6 * IFERROR(VLOOKUP("buildings|NOx|Asthma symptoms cough", US_national_yearly!$D:$AM, 33, FALSE) / VLOOKUP("buildings|NOx|Asthma symptoms cough", US_national_yearly!$D:$AM, 10, FALSE), 1)</f>
        <v>2.1824421508183003E-3</v>
      </c>
      <c r="Z6" s="7">
        <f>$B6 * IFERROR(VLOOKUP("buildings|NOx|Asthma symptoms cough", US_national_yearly!$D:$AM, 34, FALSE) / VLOOKUP("buildings|NOx|Asthma symptoms cough", US_national_yearly!$D:$AM, 10, FALSE), 1)</f>
        <v>2.1924634034211081E-3</v>
      </c>
      <c r="AA6" s="7">
        <f>$B6 * IFERROR(VLOOKUP("buildings|NOx|Asthma symptoms cough", US_national_yearly!$D:$AM, 35, FALSE) / VLOOKUP("buildings|NOx|Asthma symptoms cough", US_national_yearly!$D:$AM, 10, FALSE), 1)</f>
        <v>2.2024846560239164E-3</v>
      </c>
      <c r="AB6" s="7">
        <f>$B6 * IFERROR(VLOOKUP("buildings|NOx|Asthma symptoms cough", US_national_yearly!$D:$AM, 36, FALSE) / VLOOKUP("buildings|NOx|Asthma symptoms cough", US_national_yearly!$D:$AM, 10, FALSE), 1)</f>
        <v>2.2125059086267242E-3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2.5409912792249264E-3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2.5757654369313299E-3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2.610539594637733E-3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2.6453137523441365E-3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2.68008791005054E-3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2.7078789779716749E-3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2.7356700458928099E-3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2.7452877136002725E-3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2.7549053813077343E-3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2.7645230490151974E-3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2.7741407167226595E-3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2.7837583844301222E-3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2.7948794120192222E-3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2.8060004396083227E-3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2.8171214671974232E-3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2.8282424947865233E-3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2.8393635223756238E-3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2.8538878201656687E-3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2.8684121179557136E-3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2.8829364157457586E-3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2.8974607135358031E-3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2.911985011325848E-3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2.9254800825464682E-3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2.9389751537670875E-3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2.9524702249877077E-3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2.9659652962083266E-3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2.9794603674289464E-3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3.8822036771012621E-3</v>
      </c>
      <c r="C8" s="7">
        <f>$B8 * IFERROR(VLOOKUP("buildings|NOx|Asthma symptoms wheeze", US_national_yearly!$D:$AM, 11, FALSE) / VLOOKUP("buildings|NOx|Asthma symptoms wheeze", US_national_yearly!$D:$AM, 10, FALSE), 1)</f>
        <v>3.9353326918838832E-3</v>
      </c>
      <c r="D8" s="7">
        <f>$B8 * IFERROR(VLOOKUP("buildings|NOx|Asthma symptoms wheeze", US_national_yearly!$D:$AM, 12, FALSE) / VLOOKUP("buildings|NOx|Asthma symptoms wheeze", US_national_yearly!$D:$AM, 10, FALSE), 1)</f>
        <v>3.9884617066665053E-3</v>
      </c>
      <c r="E8" s="7">
        <f>$B8 * IFERROR(VLOOKUP("buildings|NOx|Asthma symptoms wheeze", US_national_yearly!$D:$AM, 13, FALSE) / VLOOKUP("buildings|NOx|Asthma symptoms wheeze", US_national_yearly!$D:$AM, 10, FALSE), 1)</f>
        <v>4.0415907214491256E-3</v>
      </c>
      <c r="F8" s="7">
        <f>$B8 * IFERROR(VLOOKUP("buildings|NOx|Asthma symptoms wheeze", US_national_yearly!$D:$AM, 14, FALSE) / VLOOKUP("buildings|NOx|Asthma symptoms wheeze", US_national_yearly!$D:$AM, 10, FALSE), 1)</f>
        <v>4.0947197362317476E-3</v>
      </c>
      <c r="G8" s="7">
        <f>$B8 * IFERROR(VLOOKUP("buildings|NOx|Asthma symptoms wheeze", US_national_yearly!$D:$AM, 15, FALSE) / VLOOKUP("buildings|NOx|Asthma symptoms wheeze", US_national_yearly!$D:$AM, 10, FALSE), 1)</f>
        <v>4.1371797743382181E-3</v>
      </c>
      <c r="H8" s="7">
        <f>$B8 * IFERROR(VLOOKUP("buildings|NOx|Asthma symptoms wheeze", US_national_yearly!$D:$AM, 16, FALSE) / VLOOKUP("buildings|NOx|Asthma symptoms wheeze", US_national_yearly!$D:$AM, 10, FALSE), 1)</f>
        <v>4.1796398124446877E-3</v>
      </c>
      <c r="I8" s="7">
        <f>$B8 * IFERROR(VLOOKUP("buildings|NOx|Asthma symptoms wheeze", US_national_yearly!$D:$AM, 17, FALSE) / VLOOKUP("buildings|NOx|Asthma symptoms wheeze", US_national_yearly!$D:$AM, 10, FALSE), 1)</f>
        <v>4.1943339775844732E-3</v>
      </c>
      <c r="J8" s="7">
        <f>$B8 * IFERROR(VLOOKUP("buildings|NOx|Asthma symptoms wheeze", US_national_yearly!$D:$AM, 18, FALSE) / VLOOKUP("buildings|NOx|Asthma symptoms wheeze", US_national_yearly!$D:$AM, 10, FALSE), 1)</f>
        <v>4.2090281427242578E-3</v>
      </c>
      <c r="K8" s="7">
        <f>$B8 * IFERROR(VLOOKUP("buildings|NOx|Asthma symptoms wheeze", US_national_yearly!$D:$AM, 19, FALSE) / VLOOKUP("buildings|NOx|Asthma symptoms wheeze", US_national_yearly!$D:$AM, 10, FALSE), 1)</f>
        <v>4.2237223078640425E-3</v>
      </c>
      <c r="L8" s="7">
        <f>$B8 * IFERROR(VLOOKUP("buildings|NOx|Asthma symptoms wheeze", US_national_yearly!$D:$AM, 20, FALSE) / VLOOKUP("buildings|NOx|Asthma symptoms wheeze", US_national_yearly!$D:$AM, 10, FALSE), 1)</f>
        <v>4.2384164730038263E-3</v>
      </c>
      <c r="M8" s="7">
        <f>$B8 * IFERROR(VLOOKUP("buildings|NOx|Asthma symptoms wheeze", US_national_yearly!$D:$AM, 21, FALSE) / VLOOKUP("buildings|NOx|Asthma symptoms wheeze", US_national_yearly!$D:$AM, 10, FALSE), 1)</f>
        <v>4.2531106381436118E-3</v>
      </c>
      <c r="N8" s="7">
        <f>$B8 * IFERROR(VLOOKUP("buildings|NOx|Asthma symptoms wheeze", US_national_yearly!$D:$AM, 22, FALSE) / VLOOKUP("buildings|NOx|Asthma symptoms wheeze", US_national_yearly!$D:$AM, 10, FALSE), 1)</f>
        <v>4.2701016821596414E-3</v>
      </c>
      <c r="O8" s="7">
        <f>$B8 * IFERROR(VLOOKUP("buildings|NOx|Asthma symptoms wheeze", US_national_yearly!$D:$AM, 23, FALSE) / VLOOKUP("buildings|NOx|Asthma symptoms wheeze", US_national_yearly!$D:$AM, 10, FALSE), 1)</f>
        <v>4.2870927261756727E-3</v>
      </c>
      <c r="P8" s="7">
        <f>$B8 * IFERROR(VLOOKUP("buildings|NOx|Asthma symptoms wheeze", US_national_yearly!$D:$AM, 24, FALSE) / VLOOKUP("buildings|NOx|Asthma symptoms wheeze", US_national_yearly!$D:$AM, 10, FALSE), 1)</f>
        <v>4.3040837701917023E-3</v>
      </c>
      <c r="Q8" s="7">
        <f>$B8 * IFERROR(VLOOKUP("buildings|NOx|Asthma symptoms wheeze", US_national_yearly!$D:$AM, 25, FALSE) / VLOOKUP("buildings|NOx|Asthma symptoms wheeze", US_national_yearly!$D:$AM, 10, FALSE), 1)</f>
        <v>4.3210748142077328E-3</v>
      </c>
      <c r="R8" s="7">
        <f>$B8 * IFERROR(VLOOKUP("buildings|NOx|Asthma symptoms wheeze", US_national_yearly!$D:$AM, 26, FALSE) / VLOOKUP("buildings|NOx|Asthma symptoms wheeze", US_national_yearly!$D:$AM, 10, FALSE), 1)</f>
        <v>4.3380658582237623E-3</v>
      </c>
      <c r="S8" s="7">
        <f>$B8 * IFERROR(VLOOKUP("buildings|NOx|Asthma symptoms wheeze", US_national_yearly!$D:$AM, 27, FALSE) / VLOOKUP("buildings|NOx|Asthma symptoms wheeze", US_national_yearly!$D:$AM, 10, FALSE), 1)</f>
        <v>4.3602565218006616E-3</v>
      </c>
      <c r="T8" s="7">
        <f>$B8 * IFERROR(VLOOKUP("buildings|NOx|Asthma symptoms wheeze", US_national_yearly!$D:$AM, 28, FALSE) / VLOOKUP("buildings|NOx|Asthma symptoms wheeze", US_national_yearly!$D:$AM, 10, FALSE), 1)</f>
        <v>4.3824471853775608E-3</v>
      </c>
      <c r="U8" s="7">
        <f>$B8 * IFERROR(VLOOKUP("buildings|NOx|Asthma symptoms wheeze", US_national_yearly!$D:$AM, 29, FALSE) / VLOOKUP("buildings|NOx|Asthma symptoms wheeze", US_national_yearly!$D:$AM, 10, FALSE), 1)</f>
        <v>4.4046378489544609E-3</v>
      </c>
      <c r="V8" s="7">
        <f>$B8 * IFERROR(VLOOKUP("buildings|NOx|Asthma symptoms wheeze", US_national_yearly!$D:$AM, 30, FALSE) / VLOOKUP("buildings|NOx|Asthma symptoms wheeze", US_national_yearly!$D:$AM, 10, FALSE), 1)</f>
        <v>4.4268285125313601E-3</v>
      </c>
      <c r="W8" s="7">
        <f>$B8 * IFERROR(VLOOKUP("buildings|NOx|Asthma symptoms wheeze", US_national_yearly!$D:$AM, 31, FALSE) / VLOOKUP("buildings|NOx|Asthma symptoms wheeze", US_national_yearly!$D:$AM, 10, FALSE), 1)</f>
        <v>4.4490191761082593E-3</v>
      </c>
      <c r="X8" s="7">
        <f>$B8 * IFERROR(VLOOKUP("buildings|NOx|Asthma symptoms wheeze", US_national_yearly!$D:$AM, 32, FALSE) / VLOOKUP("buildings|NOx|Asthma symptoms wheeze", US_national_yearly!$D:$AM, 10, FALSE), 1)</f>
        <v>4.4696373560666885E-3</v>
      </c>
      <c r="Y8" s="7">
        <f>$B8 * IFERROR(VLOOKUP("buildings|NOx|Asthma symptoms wheeze", US_national_yearly!$D:$AM, 33, FALSE) / VLOOKUP("buildings|NOx|Asthma symptoms wheeze", US_national_yearly!$D:$AM, 10, FALSE), 1)</f>
        <v>4.4902555360251187E-3</v>
      </c>
      <c r="Z8" s="7">
        <f>$B8 * IFERROR(VLOOKUP("buildings|NOx|Asthma symptoms wheeze", US_national_yearly!$D:$AM, 34, FALSE) / VLOOKUP("buildings|NOx|Asthma symptoms wheeze", US_national_yearly!$D:$AM, 10, FALSE), 1)</f>
        <v>4.5108737159835488E-3</v>
      </c>
      <c r="AA8" s="7">
        <f>$B8 * IFERROR(VLOOKUP("buildings|NOx|Asthma symptoms wheeze", US_national_yearly!$D:$AM, 35, FALSE) / VLOOKUP("buildings|NOx|Asthma symptoms wheeze", US_national_yearly!$D:$AM, 10, FALSE), 1)</f>
        <v>4.5314918959419789E-3</v>
      </c>
      <c r="AB8" s="7">
        <f>$B8 * IFERROR(VLOOKUP("buildings|NOx|Asthma symptoms wheeze", US_national_yearly!$D:$AM, 36, FALSE) / VLOOKUP("buildings|NOx|Asthma symptoms wheeze", US_national_yearly!$D:$AM, 10, FALSE), 1)</f>
        <v>4.5521100759004091E-3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5.7472590025681309E-5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5.8908505358426519E-5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6.0344420691171735E-5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6.1780336023916952E-5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6.3216251356662154E-5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6.4589030109358462E-5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6.5961808862054756E-5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6.7127952069438447E-5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6.8294095276822151E-5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6.9460238484205856E-5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7.062638169158956E-5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7.1792524898973251E-5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7.2572085216747703E-5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7.3351645534522141E-5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7.4131205852296579E-5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7.4910766170071031E-5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7.5690326487845455E-5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7.6108303122294515E-5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7.6526279756743574E-5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7.6944256391192647E-5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7.7362233025641706E-5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7.7780209660090752E-5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7.806633438842264E-5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7.8352459116754513E-5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7.8638583845086414E-5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7.8924708573418275E-5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7.9210833301750162E-5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3.5874434673099622E-4</v>
      </c>
      <c r="C13" s="7">
        <f>$B13 * IFERROR(VLOOKUP("buildings|NOx|Non-fatal heart attacks", US_national_yearly!$D:$AM, 11, FALSE) / VLOOKUP("buildings|NOx|Non-fatal heart attacks", US_national_yearly!$D:$AM, 10, FALSE), 1)</f>
        <v>3.6900729106038253E-4</v>
      </c>
      <c r="D13" s="7">
        <f>$B13 * IFERROR(VLOOKUP("buildings|NOx|Non-fatal heart attacks", US_national_yearly!$D:$AM, 12, FALSE) / VLOOKUP("buildings|NOx|Non-fatal heart attacks", US_national_yearly!$D:$AM, 10, FALSE), 1)</f>
        <v>3.7927023538976895E-4</v>
      </c>
      <c r="E13" s="7">
        <f>$B13 * IFERROR(VLOOKUP("buildings|NOx|Non-fatal heart attacks", US_national_yearly!$D:$AM, 13, FALSE) / VLOOKUP("buildings|NOx|Non-fatal heart attacks", US_national_yearly!$D:$AM, 10, FALSE), 1)</f>
        <v>3.8953317971915526E-4</v>
      </c>
      <c r="F13" s="7">
        <f>$B13 * IFERROR(VLOOKUP("buildings|NOx|Non-fatal heart attacks", US_national_yearly!$D:$AM, 14, FALSE) / VLOOKUP("buildings|NOx|Non-fatal heart attacks", US_national_yearly!$D:$AM, 10, FALSE), 1)</f>
        <v>3.9979612404854157E-4</v>
      </c>
      <c r="G13" s="7">
        <f>$B13 * IFERROR(VLOOKUP("buildings|NOx|Non-fatal heart attacks", US_national_yearly!$D:$AM, 15, FALSE) / VLOOKUP("buildings|NOx|Non-fatal heart attacks", US_national_yearly!$D:$AM, 10, FALSE), 1)</f>
        <v>4.0938886359442666E-4</v>
      </c>
      <c r="H13" s="7">
        <f>$B13 * IFERROR(VLOOKUP("buildings|NOx|Non-fatal heart attacks", US_national_yearly!$D:$AM, 16, FALSE) / VLOOKUP("buildings|NOx|Non-fatal heart attacks", US_national_yearly!$D:$AM, 10, FALSE), 1)</f>
        <v>4.189816031403118E-4</v>
      </c>
      <c r="I13" s="7">
        <f>$B13 * IFERROR(VLOOKUP("buildings|NOx|Non-fatal heart attacks", US_national_yearly!$D:$AM, 17, FALSE) / VLOOKUP("buildings|NOx|Non-fatal heart attacks", US_national_yearly!$D:$AM, 10, FALSE), 1)</f>
        <v>4.2654958507225515E-4</v>
      </c>
      <c r="J13" s="7">
        <f>$B13 * IFERROR(VLOOKUP("buildings|NOx|Non-fatal heart attacks", US_national_yearly!$D:$AM, 18, FALSE) / VLOOKUP("buildings|NOx|Non-fatal heart attacks", US_national_yearly!$D:$AM, 10, FALSE), 1)</f>
        <v>4.3411756700419845E-4</v>
      </c>
      <c r="K13" s="7">
        <f>$B13 * IFERROR(VLOOKUP("buildings|NOx|Non-fatal heart attacks", US_national_yearly!$D:$AM, 19, FALSE) / VLOOKUP("buildings|NOx|Non-fatal heart attacks", US_national_yearly!$D:$AM, 10, FALSE), 1)</f>
        <v>4.4168554893614191E-4</v>
      </c>
      <c r="L13" s="7">
        <f>$B13 * IFERROR(VLOOKUP("buildings|NOx|Non-fatal heart attacks", US_national_yearly!$D:$AM, 20, FALSE) / VLOOKUP("buildings|NOx|Non-fatal heart attacks", US_national_yearly!$D:$AM, 10, FALSE), 1)</f>
        <v>4.49253530868085E-4</v>
      </c>
      <c r="M13" s="7">
        <f>$B13 * IFERROR(VLOOKUP("buildings|NOx|Non-fatal heart attacks", US_national_yearly!$D:$AM, 21, FALSE) / VLOOKUP("buildings|NOx|Non-fatal heart attacks", US_national_yearly!$D:$AM, 10, FALSE), 1)</f>
        <v>4.5682151280002846E-4</v>
      </c>
      <c r="N13" s="7">
        <f>$B13 * IFERROR(VLOOKUP("buildings|NOx|Non-fatal heart attacks", US_national_yearly!$D:$AM, 22, FALSE) / VLOOKUP("buildings|NOx|Non-fatal heart attacks", US_national_yearly!$D:$AM, 10, FALSE), 1)</f>
        <v>4.6137615374269701E-4</v>
      </c>
      <c r="O13" s="7">
        <f>$B13 * IFERROR(VLOOKUP("buildings|NOx|Non-fatal heart attacks", US_national_yearly!$D:$AM, 23, FALSE) / VLOOKUP("buildings|NOx|Non-fatal heart attacks", US_national_yearly!$D:$AM, 10, FALSE), 1)</f>
        <v>4.6593079468536545E-4</v>
      </c>
      <c r="P13" s="7">
        <f>$B13 * IFERROR(VLOOKUP("buildings|NOx|Non-fatal heart attacks", US_national_yearly!$D:$AM, 24, FALSE) / VLOOKUP("buildings|NOx|Non-fatal heart attacks", US_national_yearly!$D:$AM, 10, FALSE), 1)</f>
        <v>4.7048543562803406E-4</v>
      </c>
      <c r="Q13" s="7">
        <f>$B13 * IFERROR(VLOOKUP("buildings|NOx|Non-fatal heart attacks", US_national_yearly!$D:$AM, 25, FALSE) / VLOOKUP("buildings|NOx|Non-fatal heart attacks", US_national_yearly!$D:$AM, 10, FALSE), 1)</f>
        <v>4.7504007657070261E-4</v>
      </c>
      <c r="R13" s="7">
        <f>$B13 * IFERROR(VLOOKUP("buildings|NOx|Non-fatal heart attacks", US_national_yearly!$D:$AM, 26, FALSE) / VLOOKUP("buildings|NOx|Non-fatal heart attacks", US_national_yearly!$D:$AM, 10, FALSE), 1)</f>
        <v>4.7959471751337105E-4</v>
      </c>
      <c r="S13" s="7">
        <f>$B13 * IFERROR(VLOOKUP("buildings|NOx|Non-fatal heart attacks", US_national_yearly!$D:$AM, 27, FALSE) / VLOOKUP("buildings|NOx|Non-fatal heart attacks", US_national_yearly!$D:$AM, 10, FALSE), 1)</f>
        <v>4.8166452503698679E-4</v>
      </c>
      <c r="T13" s="7">
        <f>$B13 * IFERROR(VLOOKUP("buildings|NOx|Non-fatal heart attacks", US_national_yearly!$D:$AM, 28, FALSE) / VLOOKUP("buildings|NOx|Non-fatal heart attacks", US_national_yearly!$D:$AM, 10, FALSE), 1)</f>
        <v>4.8373433256060269E-4</v>
      </c>
      <c r="U13" s="7">
        <f>$B13 * IFERROR(VLOOKUP("buildings|NOx|Non-fatal heart attacks", US_national_yearly!$D:$AM, 29, FALSE) / VLOOKUP("buildings|NOx|Non-fatal heart attacks", US_national_yearly!$D:$AM, 10, FALSE), 1)</f>
        <v>4.8580414008421842E-4</v>
      </c>
      <c r="V13" s="7">
        <f>$B13 * IFERROR(VLOOKUP("buildings|NOx|Non-fatal heart attacks", US_national_yearly!$D:$AM, 30, FALSE) / VLOOKUP("buildings|NOx|Non-fatal heart attacks", US_national_yearly!$D:$AM, 10, FALSE), 1)</f>
        <v>4.8787394760783416E-4</v>
      </c>
      <c r="W13" s="7">
        <f>$B13 * IFERROR(VLOOKUP("buildings|NOx|Non-fatal heart attacks", US_national_yearly!$D:$AM, 31, FALSE) / VLOOKUP("buildings|NOx|Non-fatal heart attacks", US_national_yearly!$D:$AM, 10, FALSE), 1)</f>
        <v>4.8994375513144995E-4</v>
      </c>
      <c r="X13" s="7">
        <f>$B13 * IFERROR(VLOOKUP("buildings|NOx|Non-fatal heart attacks", US_national_yearly!$D:$AM, 32, FALSE) / VLOOKUP("buildings|NOx|Non-fatal heart attacks", US_national_yearly!$D:$AM, 10, FALSE), 1)</f>
        <v>4.9132828781722022E-4</v>
      </c>
      <c r="Y13" s="7">
        <f>$B13 * IFERROR(VLOOKUP("buildings|NOx|Non-fatal heart attacks", US_national_yearly!$D:$AM, 33, FALSE) / VLOOKUP("buildings|NOx|Non-fatal heart attacks", US_national_yearly!$D:$AM, 10, FALSE), 1)</f>
        <v>4.927128205029905E-4</v>
      </c>
      <c r="Z13" s="7">
        <f>$B13 * IFERROR(VLOOKUP("buildings|NOx|Non-fatal heart attacks", US_national_yearly!$D:$AM, 34, FALSE) / VLOOKUP("buildings|NOx|Non-fatal heart attacks", US_national_yearly!$D:$AM, 10, FALSE), 1)</f>
        <v>4.9409735318876077E-4</v>
      </c>
      <c r="AA13" s="7">
        <f>$B13 * IFERROR(VLOOKUP("buildings|NOx|Non-fatal heart attacks", US_national_yearly!$D:$AM, 35, FALSE) / VLOOKUP("buildings|NOx|Non-fatal heart attacks", US_national_yearly!$D:$AM, 10, FALSE), 1)</f>
        <v>4.9548188587453105E-4</v>
      </c>
      <c r="AB13" s="7">
        <f>$B13 * IFERROR(VLOOKUP("buildings|NOx|Non-fatal heart attacks", US_national_yearly!$D:$AM, 36, FALSE) / VLOOKUP("buildings|NOx|Non-fatal heart attacks", US_national_yearly!$D:$AM, 10, FALSE), 1)</f>
        <v>4.9686641856030121E-4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0.2361557962171664</v>
      </c>
      <c r="C14" s="7">
        <f>$B14 * IFERROR(VLOOKUP("buildings|NOx|Minor restricted activity days", US_national_yearly!$D:$AM, 11, FALSE) / VLOOKUP("buildings|NOx|Minor restricted activity days", US_national_yearly!$D:$AM, 10, FALSE), 1)</f>
        <v>0.23652225416372441</v>
      </c>
      <c r="D14" s="7">
        <f>$B14 * IFERROR(VLOOKUP("buildings|NOx|Minor restricted activity days", US_national_yearly!$D:$AM, 12, FALSE) / VLOOKUP("buildings|NOx|Minor restricted activity days", US_national_yearly!$D:$AM, 10, FALSE), 1)</f>
        <v>0.23688871211028242</v>
      </c>
      <c r="E14" s="7">
        <f>$B14 * IFERROR(VLOOKUP("buildings|NOx|Minor restricted activity days", US_national_yearly!$D:$AM, 13, FALSE) / VLOOKUP("buildings|NOx|Minor restricted activity days", US_national_yearly!$D:$AM, 10, FALSE), 1)</f>
        <v>0.23725517005684046</v>
      </c>
      <c r="F14" s="7">
        <f>$B14 * IFERROR(VLOOKUP("buildings|NOx|Minor restricted activity days", US_national_yearly!$D:$AM, 14, FALSE) / VLOOKUP("buildings|NOx|Minor restricted activity days", US_national_yearly!$D:$AM, 10, FALSE), 1)</f>
        <v>0.23762162800339848</v>
      </c>
      <c r="G14" s="7">
        <f>$B14 * IFERROR(VLOOKUP("buildings|NOx|Minor restricted activity days", US_national_yearly!$D:$AM, 15, FALSE) / VLOOKUP("buildings|NOx|Minor restricted activity days", US_national_yearly!$D:$AM, 10, FALSE), 1)</f>
        <v>0.23827997034031093</v>
      </c>
      <c r="H14" s="7">
        <f>$B14 * IFERROR(VLOOKUP("buildings|NOx|Minor restricted activity days", US_national_yearly!$D:$AM, 16, FALSE) / VLOOKUP("buildings|NOx|Minor restricted activity days", US_national_yearly!$D:$AM, 10, FALSE), 1)</f>
        <v>0.23893831267722337</v>
      </c>
      <c r="I14" s="7">
        <f>$B14 * IFERROR(VLOOKUP("buildings|NOx|Minor restricted activity days", US_national_yearly!$D:$AM, 17, FALSE) / VLOOKUP("buildings|NOx|Minor restricted activity days", US_national_yearly!$D:$AM, 10, FALSE), 1)</f>
        <v>0.24022189240818581</v>
      </c>
      <c r="J14" s="7">
        <f>$B14 * IFERROR(VLOOKUP("buildings|NOx|Minor restricted activity days", US_national_yearly!$D:$AM, 18, FALSE) / VLOOKUP("buildings|NOx|Minor restricted activity days", US_national_yearly!$D:$AM, 10, FALSE), 1)</f>
        <v>0.24150547213914822</v>
      </c>
      <c r="K14" s="7">
        <f>$B14 * IFERROR(VLOOKUP("buildings|NOx|Minor restricted activity days", US_national_yearly!$D:$AM, 19, FALSE) / VLOOKUP("buildings|NOx|Minor restricted activity days", US_national_yearly!$D:$AM, 10, FALSE), 1)</f>
        <v>0.24278905187011066</v>
      </c>
      <c r="L14" s="7">
        <f>$B14 * IFERROR(VLOOKUP("buildings|NOx|Minor restricted activity days", US_national_yearly!$D:$AM, 20, FALSE) / VLOOKUP("buildings|NOx|Minor restricted activity days", US_national_yearly!$D:$AM, 10, FALSE), 1)</f>
        <v>0.24407263160107309</v>
      </c>
      <c r="M14" s="7">
        <f>$B14 * IFERROR(VLOOKUP("buildings|NOx|Minor restricted activity days", US_national_yearly!$D:$AM, 21, FALSE) / VLOOKUP("buildings|NOx|Minor restricted activity days", US_national_yearly!$D:$AM, 10, FALSE), 1)</f>
        <v>0.24535621133203553</v>
      </c>
      <c r="N14" s="7">
        <f>$B14 * IFERROR(VLOOKUP("buildings|NOx|Minor restricted activity days", US_national_yearly!$D:$AM, 22, FALSE) / VLOOKUP("buildings|NOx|Minor restricted activity days", US_national_yearly!$D:$AM, 10, FALSE), 1)</f>
        <v>0.24719251112967786</v>
      </c>
      <c r="O14" s="7">
        <f>$B14 * IFERROR(VLOOKUP("buildings|NOx|Minor restricted activity days", US_national_yearly!$D:$AM, 23, FALSE) / VLOOKUP("buildings|NOx|Minor restricted activity days", US_national_yearly!$D:$AM, 10, FALSE), 1)</f>
        <v>0.24902881092732013</v>
      </c>
      <c r="P14" s="7">
        <f>$B14 * IFERROR(VLOOKUP("buildings|NOx|Minor restricted activity days", US_national_yearly!$D:$AM, 24, FALSE) / VLOOKUP("buildings|NOx|Minor restricted activity days", US_national_yearly!$D:$AM, 10, FALSE), 1)</f>
        <v>0.25086511072496243</v>
      </c>
      <c r="Q14" s="7">
        <f>$B14 * IFERROR(VLOOKUP("buildings|NOx|Minor restricted activity days", US_national_yearly!$D:$AM, 25, FALSE) / VLOOKUP("buildings|NOx|Minor restricted activity days", US_national_yearly!$D:$AM, 10, FALSE), 1)</f>
        <v>0.25270141052260475</v>
      </c>
      <c r="R14" s="7">
        <f>$B14 * IFERROR(VLOOKUP("buildings|NOx|Minor restricted activity days", US_national_yearly!$D:$AM, 26, FALSE) / VLOOKUP("buildings|NOx|Minor restricted activity days", US_national_yearly!$D:$AM, 10, FALSE), 1)</f>
        <v>0.25453771032024702</v>
      </c>
      <c r="S14" s="7">
        <f>$B14 * IFERROR(VLOOKUP("buildings|NOx|Minor restricted activity days", US_national_yearly!$D:$AM, 27, FALSE) / VLOOKUP("buildings|NOx|Minor restricted activity days", US_national_yearly!$D:$AM, 10, FALSE), 1)</f>
        <v>0.25637348149703554</v>
      </c>
      <c r="T14" s="7">
        <f>$B14 * IFERROR(VLOOKUP("buildings|NOx|Minor restricted activity days", US_national_yearly!$D:$AM, 28, FALSE) / VLOOKUP("buildings|NOx|Minor restricted activity days", US_national_yearly!$D:$AM, 10, FALSE), 1)</f>
        <v>0.25820925267382405</v>
      </c>
      <c r="U14" s="7">
        <f>$B14 * IFERROR(VLOOKUP("buildings|NOx|Minor restricted activity days", US_national_yearly!$D:$AM, 29, FALSE) / VLOOKUP("buildings|NOx|Minor restricted activity days", US_national_yearly!$D:$AM, 10, FALSE), 1)</f>
        <v>0.26004502385061268</v>
      </c>
      <c r="V14" s="7">
        <f>$B14 * IFERROR(VLOOKUP("buildings|NOx|Minor restricted activity days", US_national_yearly!$D:$AM, 30, FALSE) / VLOOKUP("buildings|NOx|Minor restricted activity days", US_national_yearly!$D:$AM, 10, FALSE), 1)</f>
        <v>0.26188079502740119</v>
      </c>
      <c r="W14" s="7">
        <f>$B14 * IFERROR(VLOOKUP("buildings|NOx|Minor restricted activity days", US_national_yearly!$D:$AM, 31, FALSE) / VLOOKUP("buildings|NOx|Minor restricted activity days", US_national_yearly!$D:$AM, 10, FALSE), 1)</f>
        <v>0.26371656620418976</v>
      </c>
      <c r="X14" s="7">
        <f>$B14 * IFERROR(VLOOKUP("buildings|NOx|Minor restricted activity days", US_national_yearly!$D:$AM, 32, FALSE) / VLOOKUP("buildings|NOx|Minor restricted activity days", US_national_yearly!$D:$AM, 10, FALSE), 1)</f>
        <v>0.26526915329616008</v>
      </c>
      <c r="Y14" s="7">
        <f>$B14 * IFERROR(VLOOKUP("buildings|NOx|Minor restricted activity days", US_national_yearly!$D:$AM, 33, FALSE) / VLOOKUP("buildings|NOx|Minor restricted activity days", US_national_yearly!$D:$AM, 10, FALSE), 1)</f>
        <v>0.2668217403881305</v>
      </c>
      <c r="Z14" s="7">
        <f>$B14 * IFERROR(VLOOKUP("buildings|NOx|Minor restricted activity days", US_national_yearly!$D:$AM, 34, FALSE) / VLOOKUP("buildings|NOx|Minor restricted activity days", US_national_yearly!$D:$AM, 10, FALSE), 1)</f>
        <v>0.26837432748010082</v>
      </c>
      <c r="AA14" s="7">
        <f>$B14 * IFERROR(VLOOKUP("buildings|NOx|Minor restricted activity days", US_national_yearly!$D:$AM, 35, FALSE) / VLOOKUP("buildings|NOx|Minor restricted activity days", US_national_yearly!$D:$AM, 10, FALSE), 1)</f>
        <v>0.26992691457207119</v>
      </c>
      <c r="AB14" s="7">
        <f>$B14 * IFERROR(VLOOKUP("buildings|NOx|Minor restricted activity days", US_national_yearly!$D:$AM, 36, FALSE) / VLOOKUP("buildings|NOx|Minor restricted activity days", US_national_yearly!$D:$AM, 10, FALSE), 1)</f>
        <v>0.27147950166404156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3.9884149474074947E-2</v>
      </c>
      <c r="C15" s="7">
        <f>$B15 * IFERROR(VLOOKUP("buildings|NOx|Work loss days", US_national_yearly!$D:$AM, 11, FALSE) / VLOOKUP("buildings|NOx|Work loss days", US_national_yearly!$D:$AM, 10, FALSE), 1)</f>
        <v>3.9973559170346291E-2</v>
      </c>
      <c r="D15" s="7">
        <f>$B15 * IFERROR(VLOOKUP("buildings|NOx|Work loss days", US_national_yearly!$D:$AM, 12, FALSE) / VLOOKUP("buildings|NOx|Work loss days", US_national_yearly!$D:$AM, 10, FALSE), 1)</f>
        <v>4.0062968866617629E-2</v>
      </c>
      <c r="E15" s="7">
        <f>$B15 * IFERROR(VLOOKUP("buildings|NOx|Work loss days", US_national_yearly!$D:$AM, 13, FALSE) / VLOOKUP("buildings|NOx|Work loss days", US_national_yearly!$D:$AM, 10, FALSE), 1)</f>
        <v>4.015237856288896E-2</v>
      </c>
      <c r="F15" s="7">
        <f>$B15 * IFERROR(VLOOKUP("buildings|NOx|Work loss days", US_national_yearly!$D:$AM, 14, FALSE) / VLOOKUP("buildings|NOx|Work loss days", US_national_yearly!$D:$AM, 10, FALSE), 1)</f>
        <v>4.0241788259160305E-2</v>
      </c>
      <c r="G15" s="7">
        <f>$B15 * IFERROR(VLOOKUP("buildings|NOx|Work loss days", US_national_yearly!$D:$AM, 15, FALSE) / VLOOKUP("buildings|NOx|Work loss days", US_national_yearly!$D:$AM, 10, FALSE), 1)</f>
        <v>4.0372023505955472E-2</v>
      </c>
      <c r="H15" s="7">
        <f>$B15 * IFERROR(VLOOKUP("buildings|NOx|Work loss days", US_national_yearly!$D:$AM, 16, FALSE) / VLOOKUP("buildings|NOx|Work loss days", US_national_yearly!$D:$AM, 10, FALSE), 1)</f>
        <v>4.0502258752750639E-2</v>
      </c>
      <c r="I15" s="7">
        <f>$B15 * IFERROR(VLOOKUP("buildings|NOx|Work loss days", US_national_yearly!$D:$AM, 17, FALSE) / VLOOKUP("buildings|NOx|Work loss days", US_national_yearly!$D:$AM, 10, FALSE), 1)</f>
        <v>4.0712888402065092E-2</v>
      </c>
      <c r="J15" s="7">
        <f>$B15 * IFERROR(VLOOKUP("buildings|NOx|Work loss days", US_national_yearly!$D:$AM, 18, FALSE) / VLOOKUP("buildings|NOx|Work loss days", US_national_yearly!$D:$AM, 10, FALSE), 1)</f>
        <v>4.0923518051379539E-2</v>
      </c>
      <c r="K15" s="7">
        <f>$B15 * IFERROR(VLOOKUP("buildings|NOx|Work loss days", US_national_yearly!$D:$AM, 19, FALSE) / VLOOKUP("buildings|NOx|Work loss days", US_national_yearly!$D:$AM, 10, FALSE), 1)</f>
        <v>4.1134147700693992E-2</v>
      </c>
      <c r="L15" s="7">
        <f>$B15 * IFERROR(VLOOKUP("buildings|NOx|Work loss days", US_national_yearly!$D:$AM, 20, FALSE) / VLOOKUP("buildings|NOx|Work loss days", US_national_yearly!$D:$AM, 10, FALSE), 1)</f>
        <v>4.1344777350008445E-2</v>
      </c>
      <c r="M15" s="7">
        <f>$B15 * IFERROR(VLOOKUP("buildings|NOx|Work loss days", US_national_yearly!$D:$AM, 21, FALSE) / VLOOKUP("buildings|NOx|Work loss days", US_national_yearly!$D:$AM, 10, FALSE), 1)</f>
        <v>4.1555406999322891E-2</v>
      </c>
      <c r="N15" s="7">
        <f>$B15 * IFERROR(VLOOKUP("buildings|NOx|Work loss days", US_national_yearly!$D:$AM, 22, FALSE) / VLOOKUP("buildings|NOx|Work loss days", US_national_yearly!$D:$AM, 10, FALSE), 1)</f>
        <v>4.1829436520511194E-2</v>
      </c>
      <c r="O15" s="7">
        <f>$B15 * IFERROR(VLOOKUP("buildings|NOx|Work loss days", US_national_yearly!$D:$AM, 23, FALSE) / VLOOKUP("buildings|NOx|Work loss days", US_national_yearly!$D:$AM, 10, FALSE), 1)</f>
        <v>4.2103466041699497E-2</v>
      </c>
      <c r="P15" s="7">
        <f>$B15 * IFERROR(VLOOKUP("buildings|NOx|Work loss days", US_national_yearly!$D:$AM, 24, FALSE) / VLOOKUP("buildings|NOx|Work loss days", US_national_yearly!$D:$AM, 10, FALSE), 1)</f>
        <v>4.23774955628878E-2</v>
      </c>
      <c r="Q15" s="7">
        <f>$B15 * IFERROR(VLOOKUP("buildings|NOx|Work loss days", US_national_yearly!$D:$AM, 25, FALSE) / VLOOKUP("buildings|NOx|Work loss days", US_national_yearly!$D:$AM, 10, FALSE), 1)</f>
        <v>4.2651525084076117E-2</v>
      </c>
      <c r="R15" s="7">
        <f>$B15 * IFERROR(VLOOKUP("buildings|NOx|Work loss days", US_national_yearly!$D:$AM, 26, FALSE) / VLOOKUP("buildings|NOx|Work loss days", US_national_yearly!$D:$AM, 10, FALSE), 1)</f>
        <v>4.292555460526442E-2</v>
      </c>
      <c r="S15" s="7">
        <f>$B15 * IFERROR(VLOOKUP("buildings|NOx|Work loss days", US_national_yearly!$D:$AM, 27, FALSE) / VLOOKUP("buildings|NOx|Work loss days", US_national_yearly!$D:$AM, 10, FALSE), 1)</f>
        <v>4.3230912483318382E-2</v>
      </c>
      <c r="T15" s="7">
        <f>$B15 * IFERROR(VLOOKUP("buildings|NOx|Work loss days", US_national_yearly!$D:$AM, 28, FALSE) / VLOOKUP("buildings|NOx|Work loss days", US_national_yearly!$D:$AM, 10, FALSE), 1)</f>
        <v>4.3536270361372351E-2</v>
      </c>
      <c r="U15" s="7">
        <f>$B15 * IFERROR(VLOOKUP("buildings|NOx|Work loss days", US_national_yearly!$D:$AM, 29, FALSE) / VLOOKUP("buildings|NOx|Work loss days", US_national_yearly!$D:$AM, 10, FALSE), 1)</f>
        <v>4.3841628239426313E-2</v>
      </c>
      <c r="V15" s="7">
        <f>$B15 * IFERROR(VLOOKUP("buildings|NOx|Work loss days", US_national_yearly!$D:$AM, 30, FALSE) / VLOOKUP("buildings|NOx|Work loss days", US_national_yearly!$D:$AM, 10, FALSE), 1)</f>
        <v>4.4146986117480275E-2</v>
      </c>
      <c r="W15" s="7">
        <f>$B15 * IFERROR(VLOOKUP("buildings|NOx|Work loss days", US_national_yearly!$D:$AM, 31, FALSE) / VLOOKUP("buildings|NOx|Work loss days", US_national_yearly!$D:$AM, 10, FALSE), 1)</f>
        <v>4.4452343995534237E-2</v>
      </c>
      <c r="X15" s="7">
        <f>$B15 * IFERROR(VLOOKUP("buildings|NOx|Work loss days", US_national_yearly!$D:$AM, 32, FALSE) / VLOOKUP("buildings|NOx|Work loss days", US_national_yearly!$D:$AM, 10, FALSE), 1)</f>
        <v>4.4717458434313621E-2</v>
      </c>
      <c r="Y15" s="7">
        <f>$B15 * IFERROR(VLOOKUP("buildings|NOx|Work loss days", US_national_yearly!$D:$AM, 33, FALSE) / VLOOKUP("buildings|NOx|Work loss days", US_national_yearly!$D:$AM, 10, FALSE), 1)</f>
        <v>4.4982572873093006E-2</v>
      </c>
      <c r="Z15" s="7">
        <f>$B15 * IFERROR(VLOOKUP("buildings|NOx|Work loss days", US_national_yearly!$D:$AM, 34, FALSE) / VLOOKUP("buildings|NOx|Work loss days", US_national_yearly!$D:$AM, 10, FALSE), 1)</f>
        <v>4.5247687311872391E-2</v>
      </c>
      <c r="AA15" s="7">
        <f>$B15 * IFERROR(VLOOKUP("buildings|NOx|Work loss days", US_national_yearly!$D:$AM, 35, FALSE) / VLOOKUP("buildings|NOx|Work loss days", US_national_yearly!$D:$AM, 10, FALSE), 1)</f>
        <v>4.5512801750651775E-2</v>
      </c>
      <c r="AB15" s="7">
        <f>$B15 * IFERROR(VLOOKUP("buildings|NOx|Work loss days", US_national_yearly!$D:$AM, 36, FALSE) / VLOOKUP("buildings|NOx|Work loss days", US_national_yearly!$D:$AM, 10, FALSE), 1)</f>
        <v>4.577791618943116E-2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9.7597454491561567E-5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1.004668283260458E-4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1.0333620216053006E-4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1.0620557599501429E-4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1.0907494982949852E-4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1.1180080278523641E-4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1.145266557409743E-4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1.1682019187927708E-4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1.1911372801757984E-4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1.2140726415588258E-4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1.2370080029418533E-4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1.2599433643248806E-4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1.2742902163247129E-4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1.2886370683245449E-4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1.302983920324377E-4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1.3173307723242091E-4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1.3316776243240408E-4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1.3382331092131174E-4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1.3447885941021936E-4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1.3513440789912702E-4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1.3578995638803467E-4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1.3644550487694232E-4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1.3681090098569679E-4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1.3717629709445128E-4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1.3754169320320575E-4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1.3790708931196025E-4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1.3827248542071474E-4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3.2246782723877473E-3</v>
      </c>
      <c r="C2" s="7">
        <f>$B2 * IFERROR(VLOOKUP("buildings|SO2|Premature mortality", US_national_yearly!$D:$AM, 11, FALSE) / VLOOKUP("buildings|SO2|Premature mortality", US_national_yearly!$D:$AM, 10, FALSE), 1)</f>
        <v>3.2655298247763124E-3</v>
      </c>
      <c r="D2" s="7">
        <f>$B2 * IFERROR(VLOOKUP("buildings|SO2|Premature mortality", US_national_yearly!$D:$AM, 12, FALSE) / VLOOKUP("buildings|SO2|Premature mortality", US_national_yearly!$D:$AM, 10, FALSE), 1)</f>
        <v>3.3063813771648768E-3</v>
      </c>
      <c r="E2" s="7">
        <f>$B2 * IFERROR(VLOOKUP("buildings|SO2|Premature mortality", US_national_yearly!$D:$AM, 13, FALSE) / VLOOKUP("buildings|SO2|Premature mortality", US_national_yearly!$D:$AM, 10, FALSE), 1)</f>
        <v>3.3472329295534419E-3</v>
      </c>
      <c r="F2" s="7">
        <f>$B2 * IFERROR(VLOOKUP("buildings|SO2|Premature mortality", US_national_yearly!$D:$AM, 14, FALSE) / VLOOKUP("buildings|SO2|Premature mortality", US_national_yearly!$D:$AM, 10, FALSE), 1)</f>
        <v>3.3880844819420071E-3</v>
      </c>
      <c r="G2" s="7">
        <f>$B2 * IFERROR(VLOOKUP("buildings|SO2|Premature mortality", US_national_yearly!$D:$AM, 15, FALSE) / VLOOKUP("buildings|SO2|Premature mortality", US_national_yearly!$D:$AM, 10, FALSE), 1)</f>
        <v>3.4667971343226365E-3</v>
      </c>
      <c r="H2" s="7">
        <f>$B2 * IFERROR(VLOOKUP("buildings|SO2|Premature mortality", US_national_yearly!$D:$AM, 16, FALSE) / VLOOKUP("buildings|SO2|Premature mortality", US_national_yearly!$D:$AM, 10, FALSE), 1)</f>
        <v>3.5455097867032673E-3</v>
      </c>
      <c r="I2" s="7">
        <f>$B2 * IFERROR(VLOOKUP("buildings|SO2|Premature mortality", US_national_yearly!$D:$AM, 17, FALSE) / VLOOKUP("buildings|SO2|Premature mortality", US_national_yearly!$D:$AM, 10, FALSE), 1)</f>
        <v>3.5975541403450123E-3</v>
      </c>
      <c r="J2" s="7">
        <f>$B2 * IFERROR(VLOOKUP("buildings|SO2|Premature mortality", US_national_yearly!$D:$AM, 18, FALSE) / VLOOKUP("buildings|SO2|Premature mortality", US_national_yearly!$D:$AM, 10, FALSE), 1)</f>
        <v>3.6495984939867564E-3</v>
      </c>
      <c r="K2" s="7">
        <f>$B2 * IFERROR(VLOOKUP("buildings|SO2|Premature mortality", US_national_yearly!$D:$AM, 19, FALSE) / VLOOKUP("buildings|SO2|Premature mortality", US_national_yearly!$D:$AM, 10, FALSE), 1)</f>
        <v>3.7016428476285015E-3</v>
      </c>
      <c r="L2" s="7">
        <f>$B2 * IFERROR(VLOOKUP("buildings|SO2|Premature mortality", US_national_yearly!$D:$AM, 20, FALSE) / VLOOKUP("buildings|SO2|Premature mortality", US_national_yearly!$D:$AM, 10, FALSE), 1)</f>
        <v>3.7536872012702456E-3</v>
      </c>
      <c r="M2" s="7">
        <f>$B2 * IFERROR(VLOOKUP("buildings|SO2|Premature mortality", US_national_yearly!$D:$AM, 21, FALSE) / VLOOKUP("buildings|SO2|Premature mortality", US_national_yearly!$D:$AM, 10, FALSE), 1)</f>
        <v>3.8057315549119906E-3</v>
      </c>
      <c r="N2" s="7">
        <f>$B2 * IFERROR(VLOOKUP("buildings|SO2|Premature mortality", US_national_yearly!$D:$AM, 22, FALSE) / VLOOKUP("buildings|SO2|Premature mortality", US_national_yearly!$D:$AM, 10, FALSE), 1)</f>
        <v>3.8463867758813633E-3</v>
      </c>
      <c r="O2" s="7">
        <f>$B2 * IFERROR(VLOOKUP("buildings|SO2|Premature mortality", US_national_yearly!$D:$AM, 23, FALSE) / VLOOKUP("buildings|SO2|Premature mortality", US_national_yearly!$D:$AM, 10, FALSE), 1)</f>
        <v>3.8870419968507334E-3</v>
      </c>
      <c r="P2" s="7">
        <f>$B2 * IFERROR(VLOOKUP("buildings|SO2|Premature mortality", US_national_yearly!$D:$AM, 24, FALSE) / VLOOKUP("buildings|SO2|Premature mortality", US_national_yearly!$D:$AM, 10, FALSE), 1)</f>
        <v>3.9276972178201048E-3</v>
      </c>
      <c r="Q2" s="7">
        <f>$B2 * IFERROR(VLOOKUP("buildings|SO2|Premature mortality", US_national_yearly!$D:$AM, 25, FALSE) / VLOOKUP("buildings|SO2|Premature mortality", US_national_yearly!$D:$AM, 10, FALSE), 1)</f>
        <v>3.9683524387894758E-3</v>
      </c>
      <c r="R2" s="7">
        <f>$B2 * IFERROR(VLOOKUP("buildings|SO2|Premature mortality", US_national_yearly!$D:$AM, 26, FALSE) / VLOOKUP("buildings|SO2|Premature mortality", US_national_yearly!$D:$AM, 10, FALSE), 1)</f>
        <v>4.0090076597588476E-3</v>
      </c>
      <c r="S2" s="7">
        <f>$B2 * IFERROR(VLOOKUP("buildings|SO2|Premature mortality", US_national_yearly!$D:$AM, 27, FALSE) / VLOOKUP("buildings|SO2|Premature mortality", US_national_yearly!$D:$AM, 10, FALSE), 1)</f>
        <v>4.0307667980904772E-3</v>
      </c>
      <c r="T2" s="7">
        <f>$B2 * IFERROR(VLOOKUP("buildings|SO2|Premature mortality", US_national_yearly!$D:$AM, 28, FALSE) / VLOOKUP("buildings|SO2|Premature mortality", US_national_yearly!$D:$AM, 10, FALSE), 1)</f>
        <v>4.0525259364221069E-3</v>
      </c>
      <c r="U2" s="7">
        <f>$B2 * IFERROR(VLOOKUP("buildings|SO2|Premature mortality", US_national_yearly!$D:$AM, 29, FALSE) / VLOOKUP("buildings|SO2|Premature mortality", US_national_yearly!$D:$AM, 10, FALSE), 1)</f>
        <v>4.0742850747537366E-3</v>
      </c>
      <c r="V2" s="7">
        <f>$B2 * IFERROR(VLOOKUP("buildings|SO2|Premature mortality", US_national_yearly!$D:$AM, 30, FALSE) / VLOOKUP("buildings|SO2|Premature mortality", US_national_yearly!$D:$AM, 10, FALSE), 1)</f>
        <v>4.0960442130853671E-3</v>
      </c>
      <c r="W2" s="7">
        <f>$B2 * IFERROR(VLOOKUP("buildings|SO2|Premature mortality", US_national_yearly!$D:$AM, 31, FALSE) / VLOOKUP("buildings|SO2|Premature mortality", US_national_yearly!$D:$AM, 10, FALSE), 1)</f>
        <v>4.1178033514169959E-3</v>
      </c>
      <c r="X2" s="7">
        <f>$B2 * IFERROR(VLOOKUP("buildings|SO2|Premature mortality", US_national_yearly!$D:$AM, 32, FALSE) / VLOOKUP("buildings|SO2|Premature mortality", US_national_yearly!$D:$AM, 10, FALSE), 1)</f>
        <v>4.1222001107479103E-3</v>
      </c>
      <c r="Y2" s="7">
        <f>$B2 * IFERROR(VLOOKUP("buildings|SO2|Premature mortality", US_national_yearly!$D:$AM, 33, FALSE) / VLOOKUP("buildings|SO2|Premature mortality", US_national_yearly!$D:$AM, 10, FALSE), 1)</f>
        <v>4.1265968700788238E-3</v>
      </c>
      <c r="Z2" s="7">
        <f>$B2 * IFERROR(VLOOKUP("buildings|SO2|Premature mortality", US_national_yearly!$D:$AM, 34, FALSE) / VLOOKUP("buildings|SO2|Premature mortality", US_national_yearly!$D:$AM, 10, FALSE), 1)</f>
        <v>4.1309936294097373E-3</v>
      </c>
      <c r="AA2" s="7">
        <f>$B2 * IFERROR(VLOOKUP("buildings|SO2|Premature mortality", US_national_yearly!$D:$AM, 35, FALSE) / VLOOKUP("buildings|SO2|Premature mortality", US_national_yearly!$D:$AM, 10, FALSE), 1)</f>
        <v>4.1353903887406517E-3</v>
      </c>
      <c r="AB2" s="7">
        <f>$B2 * IFERROR(VLOOKUP("buildings|SO2|Premature mortality", US_national_yearly!$D:$AM, 36, FALSE) / VLOOKUP("buildings|SO2|Premature mortality", US_national_yearly!$D:$AM, 10, FALSE), 1)</f>
        <v>4.1397871480715652E-3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7.1356835325114064E-6</v>
      </c>
      <c r="C3" s="7">
        <f>$B3 * IFERROR(VLOOKUP("buildings|SO2|Infant mortality", US_national_yearly!$D:$AM, 11, FALSE) / VLOOKUP("buildings|SO2|Infant mortality", US_national_yearly!$D:$AM, 10, FALSE), 1)</f>
        <v>7.0745206832780389E-6</v>
      </c>
      <c r="D3" s="7">
        <f>$B3 * IFERROR(VLOOKUP("buildings|SO2|Infant mortality", US_national_yearly!$D:$AM, 12, FALSE) / VLOOKUP("buildings|SO2|Infant mortality", US_national_yearly!$D:$AM, 10, FALSE), 1)</f>
        <v>7.0133578340446706E-6</v>
      </c>
      <c r="E3" s="7">
        <f>$B3 * IFERROR(VLOOKUP("buildings|SO2|Infant mortality", US_national_yearly!$D:$AM, 13, FALSE) / VLOOKUP("buildings|SO2|Infant mortality", US_national_yearly!$D:$AM, 10, FALSE), 1)</f>
        <v>6.9521949848113031E-6</v>
      </c>
      <c r="F3" s="7">
        <f>$B3 * IFERROR(VLOOKUP("buildings|SO2|Infant mortality", US_national_yearly!$D:$AM, 14, FALSE) / VLOOKUP("buildings|SO2|Infant mortality", US_national_yearly!$D:$AM, 10, FALSE), 1)</f>
        <v>6.8910321355779365E-6</v>
      </c>
      <c r="G3" s="7">
        <f>$B3 * IFERROR(VLOOKUP("buildings|SO2|Infant mortality", US_national_yearly!$D:$AM, 15, FALSE) / VLOOKUP("buildings|SO2|Infant mortality", US_national_yearly!$D:$AM, 10, FALSE), 1)</f>
        <v>4.5891544020431246E-6</v>
      </c>
      <c r="H3" s="7">
        <f>$B3 * IFERROR(VLOOKUP("buildings|SO2|Infant mortality", US_national_yearly!$D:$AM, 16, FALSE) / VLOOKUP("buildings|SO2|Infant mortality", US_national_yearly!$D:$AM, 10, FALSE), 1)</f>
        <v>2.2872766685083135E-6</v>
      </c>
      <c r="I3" s="7">
        <f>$B3 * IFERROR(VLOOKUP("buildings|SO2|Infant mortality", US_national_yearly!$D:$AM, 17, FALSE) / VLOOKUP("buildings|SO2|Infant mortality", US_national_yearly!$D:$AM, 10, FALSE), 1)</f>
        <v>2.2729260421062108E-6</v>
      </c>
      <c r="J3" s="7">
        <f>$B3 * IFERROR(VLOOKUP("buildings|SO2|Infant mortality", US_national_yearly!$D:$AM, 18, FALSE) / VLOOKUP("buildings|SO2|Infant mortality", US_national_yearly!$D:$AM, 10, FALSE), 1)</f>
        <v>2.2585754157041077E-6</v>
      </c>
      <c r="K3" s="7">
        <f>$B3 * IFERROR(VLOOKUP("buildings|SO2|Infant mortality", US_national_yearly!$D:$AM, 19, FALSE) / VLOOKUP("buildings|SO2|Infant mortality", US_national_yearly!$D:$AM, 10, FALSE), 1)</f>
        <v>2.2442247893020046E-6</v>
      </c>
      <c r="L3" s="7">
        <f>$B3 * IFERROR(VLOOKUP("buildings|SO2|Infant mortality", US_national_yearly!$D:$AM, 20, FALSE) / VLOOKUP("buildings|SO2|Infant mortality", US_national_yearly!$D:$AM, 10, FALSE), 1)</f>
        <v>2.2298741628999015E-6</v>
      </c>
      <c r="M3" s="7">
        <f>$B3 * IFERROR(VLOOKUP("buildings|SO2|Infant mortality", US_national_yearly!$D:$AM, 21, FALSE) / VLOOKUP("buildings|SO2|Infant mortality", US_national_yearly!$D:$AM, 10, FALSE), 1)</f>
        <v>2.2155235364977983E-6</v>
      </c>
      <c r="N3" s="7">
        <f>$B3 * IFERROR(VLOOKUP("buildings|SO2|Infant mortality", US_national_yearly!$D:$AM, 22, FALSE) / VLOOKUP("buildings|SO2|Infant mortality", US_national_yearly!$D:$AM, 10, FALSE), 1)</f>
        <v>2.2065272182397652E-6</v>
      </c>
      <c r="O3" s="7">
        <f>$B3 * IFERROR(VLOOKUP("buildings|SO2|Infant mortality", US_national_yearly!$D:$AM, 23, FALSE) / VLOOKUP("buildings|SO2|Infant mortality", US_national_yearly!$D:$AM, 10, FALSE), 1)</f>
        <v>2.197530899981732E-6</v>
      </c>
      <c r="P3" s="7">
        <f>$B3 * IFERROR(VLOOKUP("buildings|SO2|Infant mortality", US_national_yearly!$D:$AM, 24, FALSE) / VLOOKUP("buildings|SO2|Infant mortality", US_national_yearly!$D:$AM, 10, FALSE), 1)</f>
        <v>2.1885345817236989E-6</v>
      </c>
      <c r="Q3" s="7">
        <f>$B3 * IFERROR(VLOOKUP("buildings|SO2|Infant mortality", US_national_yearly!$D:$AM, 25, FALSE) / VLOOKUP("buildings|SO2|Infant mortality", US_national_yearly!$D:$AM, 10, FALSE), 1)</f>
        <v>2.1795382634656657E-6</v>
      </c>
      <c r="R3" s="7">
        <f>$B3 * IFERROR(VLOOKUP("buildings|SO2|Infant mortality", US_national_yearly!$D:$AM, 26, FALSE) / VLOOKUP("buildings|SO2|Infant mortality", US_national_yearly!$D:$AM, 10, FALSE), 1)</f>
        <v>2.1705419452076321E-6</v>
      </c>
      <c r="S3" s="7">
        <f>$B3 * IFERROR(VLOOKUP("buildings|SO2|Infant mortality", US_national_yearly!$D:$AM, 27, FALSE) / VLOOKUP("buildings|SO2|Infant mortality", US_national_yearly!$D:$AM, 10, FALSE), 1)</f>
        <v>2.1592454215872966E-6</v>
      </c>
      <c r="T3" s="7">
        <f>$B3 * IFERROR(VLOOKUP("buildings|SO2|Infant mortality", US_national_yearly!$D:$AM, 28, FALSE) / VLOOKUP("buildings|SO2|Infant mortality", US_national_yearly!$D:$AM, 10, FALSE), 1)</f>
        <v>2.1479488979669606E-6</v>
      </c>
      <c r="U3" s="7">
        <f>$B3 * IFERROR(VLOOKUP("buildings|SO2|Infant mortality", US_national_yearly!$D:$AM, 29, FALSE) / VLOOKUP("buildings|SO2|Infant mortality", US_national_yearly!$D:$AM, 10, FALSE), 1)</f>
        <v>2.1366523743466246E-6</v>
      </c>
      <c r="V3" s="7">
        <f>$B3 * IFERROR(VLOOKUP("buildings|SO2|Infant mortality", US_national_yearly!$D:$AM, 30, FALSE) / VLOOKUP("buildings|SO2|Infant mortality", US_national_yearly!$D:$AM, 10, FALSE), 1)</f>
        <v>2.1253558507262886E-6</v>
      </c>
      <c r="W3" s="7">
        <f>$B3 * IFERROR(VLOOKUP("buildings|SO2|Infant mortality", US_national_yearly!$D:$AM, 31, FALSE) / VLOOKUP("buildings|SO2|Infant mortality", US_national_yearly!$D:$AM, 10, FALSE), 1)</f>
        <v>2.1140593271059526E-6</v>
      </c>
      <c r="X3" s="7">
        <f>$B3 * IFERROR(VLOOKUP("buildings|SO2|Infant mortality", US_national_yearly!$D:$AM, 32, FALSE) / VLOOKUP("buildings|SO2|Infant mortality", US_national_yearly!$D:$AM, 10, FALSE), 1)</f>
        <v>2.1017217333605464E-6</v>
      </c>
      <c r="Y3" s="7">
        <f>$B3 * IFERROR(VLOOKUP("buildings|SO2|Infant mortality", US_national_yearly!$D:$AM, 33, FALSE) / VLOOKUP("buildings|SO2|Infant mortality", US_national_yearly!$D:$AM, 10, FALSE), 1)</f>
        <v>2.0893841396151403E-6</v>
      </c>
      <c r="Z3" s="7">
        <f>$B3 * IFERROR(VLOOKUP("buildings|SO2|Infant mortality", US_national_yearly!$D:$AM, 34, FALSE) / VLOOKUP("buildings|SO2|Infant mortality", US_national_yearly!$D:$AM, 10, FALSE), 1)</f>
        <v>2.0770465458697346E-6</v>
      </c>
      <c r="AA3" s="7">
        <f>$B3 * IFERROR(VLOOKUP("buildings|SO2|Infant mortality", US_national_yearly!$D:$AM, 35, FALSE) / VLOOKUP("buildings|SO2|Infant mortality", US_national_yearly!$D:$AM, 10, FALSE), 1)</f>
        <v>2.0647089521243277E-6</v>
      </c>
      <c r="AB3" s="7">
        <f>$B3 * IFERROR(VLOOKUP("buildings|SO2|Infant mortality", US_national_yearly!$D:$AM, 36, FALSE) / VLOOKUP("buildings|SO2|Infant mortality", US_national_yearly!$D:$AM, 10, FALSE), 1)</f>
        <v>2.052371358378922E-6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7.0190454286886026E-3</v>
      </c>
      <c r="C6" s="7">
        <f>$B6 * IFERROR(VLOOKUP("buildings|SO2|Asthma symptoms cough", US_national_yearly!$D:$AM, 11, FALSE) / VLOOKUP("buildings|SO2|Asthma symptoms cough", US_national_yearly!$D:$AM, 10, FALSE), 1)</f>
        <v>7.0190454286886026E-3</v>
      </c>
      <c r="D6" s="7">
        <f>$B6 * IFERROR(VLOOKUP("buildings|SO2|Asthma symptoms cough", US_national_yearly!$D:$AM, 12, FALSE) / VLOOKUP("buildings|SO2|Asthma symptoms cough", US_national_yearly!$D:$AM, 10, FALSE), 1)</f>
        <v>7.0190454286886026E-3</v>
      </c>
      <c r="E6" s="7">
        <f>$B6 * IFERROR(VLOOKUP("buildings|SO2|Asthma symptoms cough", US_national_yearly!$D:$AM, 13, FALSE) / VLOOKUP("buildings|SO2|Asthma symptoms cough", US_national_yearly!$D:$AM, 10, FALSE), 1)</f>
        <v>7.0190454286886026E-3</v>
      </c>
      <c r="F6" s="7">
        <f>$B6 * IFERROR(VLOOKUP("buildings|SO2|Asthma symptoms cough", US_national_yearly!$D:$AM, 14, FALSE) / VLOOKUP("buildings|SO2|Asthma symptoms cough", US_national_yearly!$D:$AM, 10, FALSE), 1)</f>
        <v>7.0190454286886026E-3</v>
      </c>
      <c r="G6" s="7">
        <f>$B6 * IFERROR(VLOOKUP("buildings|SO2|Asthma symptoms cough", US_national_yearly!$D:$AM, 15, FALSE) / VLOOKUP("buildings|SO2|Asthma symptoms cough", US_national_yearly!$D:$AM, 10, FALSE), 1)</f>
        <v>7.0190454286886026E-3</v>
      </c>
      <c r="H6" s="7">
        <f>$B6 * IFERROR(VLOOKUP("buildings|SO2|Asthma symptoms cough", US_national_yearly!$D:$AM, 16, FALSE) / VLOOKUP("buildings|SO2|Asthma symptoms cough", US_national_yearly!$D:$AM, 10, FALSE), 1)</f>
        <v>7.0190454286886026E-3</v>
      </c>
      <c r="I6" s="7">
        <f>$B6 * IFERROR(VLOOKUP("buildings|SO2|Asthma symptoms cough", US_national_yearly!$D:$AM, 17, FALSE) / VLOOKUP("buildings|SO2|Asthma symptoms cough", US_national_yearly!$D:$AM, 10, FALSE), 1)</f>
        <v>7.0190454286886026E-3</v>
      </c>
      <c r="J6" s="7">
        <f>$B6 * IFERROR(VLOOKUP("buildings|SO2|Asthma symptoms cough", US_national_yearly!$D:$AM, 18, FALSE) / VLOOKUP("buildings|SO2|Asthma symptoms cough", US_national_yearly!$D:$AM, 10, FALSE), 1)</f>
        <v>7.0190454286886026E-3</v>
      </c>
      <c r="K6" s="7">
        <f>$B6 * IFERROR(VLOOKUP("buildings|SO2|Asthma symptoms cough", US_national_yearly!$D:$AM, 19, FALSE) / VLOOKUP("buildings|SO2|Asthma symptoms cough", US_national_yearly!$D:$AM, 10, FALSE), 1)</f>
        <v>7.0190454286886026E-3</v>
      </c>
      <c r="L6" s="7">
        <f>$B6 * IFERROR(VLOOKUP("buildings|SO2|Asthma symptoms cough", US_national_yearly!$D:$AM, 20, FALSE) / VLOOKUP("buildings|SO2|Asthma symptoms cough", US_national_yearly!$D:$AM, 10, FALSE), 1)</f>
        <v>7.0190454286886026E-3</v>
      </c>
      <c r="M6" s="7">
        <f>$B6 * IFERROR(VLOOKUP("buildings|SO2|Asthma symptoms cough", US_national_yearly!$D:$AM, 21, FALSE) / VLOOKUP("buildings|SO2|Asthma symptoms cough", US_national_yearly!$D:$AM, 10, FALSE), 1)</f>
        <v>7.0190454286886026E-3</v>
      </c>
      <c r="N6" s="7">
        <f>$B6 * IFERROR(VLOOKUP("buildings|SO2|Asthma symptoms cough", US_national_yearly!$D:$AM, 22, FALSE) / VLOOKUP("buildings|SO2|Asthma symptoms cough", US_national_yearly!$D:$AM, 10, FALSE), 1)</f>
        <v>7.0190454286886026E-3</v>
      </c>
      <c r="O6" s="7">
        <f>$B6 * IFERROR(VLOOKUP("buildings|SO2|Asthma symptoms cough", US_national_yearly!$D:$AM, 23, FALSE) / VLOOKUP("buildings|SO2|Asthma symptoms cough", US_national_yearly!$D:$AM, 10, FALSE), 1)</f>
        <v>7.0190454286886026E-3</v>
      </c>
      <c r="P6" s="7">
        <f>$B6 * IFERROR(VLOOKUP("buildings|SO2|Asthma symptoms cough", US_national_yearly!$D:$AM, 24, FALSE) / VLOOKUP("buildings|SO2|Asthma symptoms cough", US_national_yearly!$D:$AM, 10, FALSE), 1)</f>
        <v>7.0190454286886026E-3</v>
      </c>
      <c r="Q6" s="7">
        <f>$B6 * IFERROR(VLOOKUP("buildings|SO2|Asthma symptoms cough", US_national_yearly!$D:$AM, 25, FALSE) / VLOOKUP("buildings|SO2|Asthma symptoms cough", US_national_yearly!$D:$AM, 10, FALSE), 1)</f>
        <v>7.0190454286886026E-3</v>
      </c>
      <c r="R6" s="7">
        <f>$B6 * IFERROR(VLOOKUP("buildings|SO2|Asthma symptoms cough", US_national_yearly!$D:$AM, 26, FALSE) / VLOOKUP("buildings|SO2|Asthma symptoms cough", US_national_yearly!$D:$AM, 10, FALSE), 1)</f>
        <v>7.0190454286886026E-3</v>
      </c>
      <c r="S6" s="7">
        <f>$B6 * IFERROR(VLOOKUP("buildings|SO2|Asthma symptoms cough", US_national_yearly!$D:$AM, 27, FALSE) / VLOOKUP("buildings|SO2|Asthma symptoms cough", US_national_yearly!$D:$AM, 10, FALSE), 1)</f>
        <v>7.0190454286886026E-3</v>
      </c>
      <c r="T6" s="7">
        <f>$B6 * IFERROR(VLOOKUP("buildings|SO2|Asthma symptoms cough", US_national_yearly!$D:$AM, 28, FALSE) / VLOOKUP("buildings|SO2|Asthma symptoms cough", US_national_yearly!$D:$AM, 10, FALSE), 1)</f>
        <v>7.0190454286886026E-3</v>
      </c>
      <c r="U6" s="7">
        <f>$B6 * IFERROR(VLOOKUP("buildings|SO2|Asthma symptoms cough", US_national_yearly!$D:$AM, 29, FALSE) / VLOOKUP("buildings|SO2|Asthma symptoms cough", US_national_yearly!$D:$AM, 10, FALSE), 1)</f>
        <v>7.0190454286886026E-3</v>
      </c>
      <c r="V6" s="7">
        <f>$B6 * IFERROR(VLOOKUP("buildings|SO2|Asthma symptoms cough", US_national_yearly!$D:$AM, 30, FALSE) / VLOOKUP("buildings|SO2|Asthma symptoms cough", US_national_yearly!$D:$AM, 10, FALSE), 1)</f>
        <v>7.0190454286886026E-3</v>
      </c>
      <c r="W6" s="7">
        <f>$B6 * IFERROR(VLOOKUP("buildings|SO2|Asthma symptoms cough", US_national_yearly!$D:$AM, 31, FALSE) / VLOOKUP("buildings|SO2|Asthma symptoms cough", US_national_yearly!$D:$AM, 10, FALSE), 1)</f>
        <v>7.0190454286886026E-3</v>
      </c>
      <c r="X6" s="7">
        <f>$B6 * IFERROR(VLOOKUP("buildings|SO2|Asthma symptoms cough", US_national_yearly!$D:$AM, 32, FALSE) / VLOOKUP("buildings|SO2|Asthma symptoms cough", US_national_yearly!$D:$AM, 10, FALSE), 1)</f>
        <v>7.0190454286886026E-3</v>
      </c>
      <c r="Y6" s="7">
        <f>$B6 * IFERROR(VLOOKUP("buildings|SO2|Asthma symptoms cough", US_national_yearly!$D:$AM, 33, FALSE) / VLOOKUP("buildings|SO2|Asthma symptoms cough", US_national_yearly!$D:$AM, 10, FALSE), 1)</f>
        <v>7.0190454286886026E-3</v>
      </c>
      <c r="Z6" s="7">
        <f>$B6 * IFERROR(VLOOKUP("buildings|SO2|Asthma symptoms cough", US_national_yearly!$D:$AM, 34, FALSE) / VLOOKUP("buildings|SO2|Asthma symptoms cough", US_national_yearly!$D:$AM, 10, FALSE), 1)</f>
        <v>7.0190454286886026E-3</v>
      </c>
      <c r="AA6" s="7">
        <f>$B6 * IFERROR(VLOOKUP("buildings|SO2|Asthma symptoms cough", US_national_yearly!$D:$AM, 35, FALSE) / VLOOKUP("buildings|SO2|Asthma symptoms cough", US_national_yearly!$D:$AM, 10, FALSE), 1)</f>
        <v>7.0190454286886026E-3</v>
      </c>
      <c r="AB6" s="7">
        <f>$B6 * IFERROR(VLOOKUP("buildings|SO2|Asthma symptoms cough", US_national_yearly!$D:$AM, 36, FALSE) / VLOOKUP("buildings|SO2|Asthma symptoms cough", US_national_yearly!$D:$AM, 10, FALSE), 1)</f>
        <v>7.0190454286886026E-3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9.4521747499212421E-3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9.4521747499212421E-3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9.4521747499212421E-3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9.4521747499212421E-3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9.4521747499212421E-3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9.4521747499212421E-3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9.4521747499212421E-3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9.4521747499212421E-3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9.4521747499212421E-3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9.4521747499212421E-3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9.4521747499212421E-3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9.4521747499212421E-3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9.4521747499212421E-3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9.4521747499212421E-3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9.4521747499212421E-3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9.4521747499212421E-3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9.4521747499212421E-3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9.4521747499212421E-3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9.4521747499212421E-3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9.4521747499212421E-3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9.4521747499212421E-3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9.4521747499212421E-3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9.4521747499212421E-3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9.4521747499212421E-3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9.4521747499212421E-3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9.4521747499212421E-3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9.4521747499212421E-3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1.4441279949886731E-2</v>
      </c>
      <c r="C8" s="7">
        <f>$B8 * IFERROR(VLOOKUP("buildings|SO2|Asthma symptoms wheeze", US_national_yearly!$D:$AM, 11, FALSE) / VLOOKUP("buildings|SO2|Asthma symptoms wheeze", US_national_yearly!$D:$AM, 10, FALSE), 1)</f>
        <v>1.4441279949886731E-2</v>
      </c>
      <c r="D8" s="7">
        <f>$B8 * IFERROR(VLOOKUP("buildings|SO2|Asthma symptoms wheeze", US_national_yearly!$D:$AM, 12, FALSE) / VLOOKUP("buildings|SO2|Asthma symptoms wheeze", US_national_yearly!$D:$AM, 10, FALSE), 1)</f>
        <v>1.4441279949886731E-2</v>
      </c>
      <c r="E8" s="7">
        <f>$B8 * IFERROR(VLOOKUP("buildings|SO2|Asthma symptoms wheeze", US_national_yearly!$D:$AM, 13, FALSE) / VLOOKUP("buildings|SO2|Asthma symptoms wheeze", US_national_yearly!$D:$AM, 10, FALSE), 1)</f>
        <v>1.4441279949886731E-2</v>
      </c>
      <c r="F8" s="7">
        <f>$B8 * IFERROR(VLOOKUP("buildings|SO2|Asthma symptoms wheeze", US_national_yearly!$D:$AM, 14, FALSE) / VLOOKUP("buildings|SO2|Asthma symptoms wheeze", US_national_yearly!$D:$AM, 10, FALSE), 1)</f>
        <v>1.4441279949886731E-2</v>
      </c>
      <c r="G8" s="7">
        <f>$B8 * IFERROR(VLOOKUP("buildings|SO2|Asthma symptoms wheeze", US_national_yearly!$D:$AM, 15, FALSE) / VLOOKUP("buildings|SO2|Asthma symptoms wheeze", US_national_yearly!$D:$AM, 10, FALSE), 1)</f>
        <v>1.4441279949886731E-2</v>
      </c>
      <c r="H8" s="7">
        <f>$B8 * IFERROR(VLOOKUP("buildings|SO2|Asthma symptoms wheeze", US_national_yearly!$D:$AM, 16, FALSE) / VLOOKUP("buildings|SO2|Asthma symptoms wheeze", US_national_yearly!$D:$AM, 10, FALSE), 1)</f>
        <v>1.4441279949886731E-2</v>
      </c>
      <c r="I8" s="7">
        <f>$B8 * IFERROR(VLOOKUP("buildings|SO2|Asthma symptoms wheeze", US_national_yearly!$D:$AM, 17, FALSE) / VLOOKUP("buildings|SO2|Asthma symptoms wheeze", US_national_yearly!$D:$AM, 10, FALSE), 1)</f>
        <v>1.4441279949886731E-2</v>
      </c>
      <c r="J8" s="7">
        <f>$B8 * IFERROR(VLOOKUP("buildings|SO2|Asthma symptoms wheeze", US_national_yearly!$D:$AM, 18, FALSE) / VLOOKUP("buildings|SO2|Asthma symptoms wheeze", US_national_yearly!$D:$AM, 10, FALSE), 1)</f>
        <v>1.4441279949886731E-2</v>
      </c>
      <c r="K8" s="7">
        <f>$B8 * IFERROR(VLOOKUP("buildings|SO2|Asthma symptoms wheeze", US_national_yearly!$D:$AM, 19, FALSE) / VLOOKUP("buildings|SO2|Asthma symptoms wheeze", US_national_yearly!$D:$AM, 10, FALSE), 1)</f>
        <v>1.4441279949886731E-2</v>
      </c>
      <c r="L8" s="7">
        <f>$B8 * IFERROR(VLOOKUP("buildings|SO2|Asthma symptoms wheeze", US_national_yearly!$D:$AM, 20, FALSE) / VLOOKUP("buildings|SO2|Asthma symptoms wheeze", US_national_yearly!$D:$AM, 10, FALSE), 1)</f>
        <v>1.4441279949886731E-2</v>
      </c>
      <c r="M8" s="7">
        <f>$B8 * IFERROR(VLOOKUP("buildings|SO2|Asthma symptoms wheeze", US_national_yearly!$D:$AM, 21, FALSE) / VLOOKUP("buildings|SO2|Asthma symptoms wheeze", US_national_yearly!$D:$AM, 10, FALSE), 1)</f>
        <v>1.4441279949886731E-2</v>
      </c>
      <c r="N8" s="7">
        <f>$B8 * IFERROR(VLOOKUP("buildings|SO2|Asthma symptoms wheeze", US_national_yearly!$D:$AM, 22, FALSE) / VLOOKUP("buildings|SO2|Asthma symptoms wheeze", US_national_yearly!$D:$AM, 10, FALSE), 1)</f>
        <v>1.4441279949886731E-2</v>
      </c>
      <c r="O8" s="7">
        <f>$B8 * IFERROR(VLOOKUP("buildings|SO2|Asthma symptoms wheeze", US_national_yearly!$D:$AM, 23, FALSE) / VLOOKUP("buildings|SO2|Asthma symptoms wheeze", US_national_yearly!$D:$AM, 10, FALSE), 1)</f>
        <v>1.4441279949886731E-2</v>
      </c>
      <c r="P8" s="7">
        <f>$B8 * IFERROR(VLOOKUP("buildings|SO2|Asthma symptoms wheeze", US_national_yearly!$D:$AM, 24, FALSE) / VLOOKUP("buildings|SO2|Asthma symptoms wheeze", US_national_yearly!$D:$AM, 10, FALSE), 1)</f>
        <v>1.4441279949886731E-2</v>
      </c>
      <c r="Q8" s="7">
        <f>$B8 * IFERROR(VLOOKUP("buildings|SO2|Asthma symptoms wheeze", US_national_yearly!$D:$AM, 25, FALSE) / VLOOKUP("buildings|SO2|Asthma symptoms wheeze", US_national_yearly!$D:$AM, 10, FALSE), 1)</f>
        <v>1.4441279949886731E-2</v>
      </c>
      <c r="R8" s="7">
        <f>$B8 * IFERROR(VLOOKUP("buildings|SO2|Asthma symptoms wheeze", US_national_yearly!$D:$AM, 26, FALSE) / VLOOKUP("buildings|SO2|Asthma symptoms wheeze", US_national_yearly!$D:$AM, 10, FALSE), 1)</f>
        <v>1.4441279949886731E-2</v>
      </c>
      <c r="S8" s="7">
        <f>$B8 * IFERROR(VLOOKUP("buildings|SO2|Asthma symptoms wheeze", US_national_yearly!$D:$AM, 27, FALSE) / VLOOKUP("buildings|SO2|Asthma symptoms wheeze", US_national_yearly!$D:$AM, 10, FALSE), 1)</f>
        <v>1.4441279949886731E-2</v>
      </c>
      <c r="T8" s="7">
        <f>$B8 * IFERROR(VLOOKUP("buildings|SO2|Asthma symptoms wheeze", US_national_yearly!$D:$AM, 28, FALSE) / VLOOKUP("buildings|SO2|Asthma symptoms wheeze", US_national_yearly!$D:$AM, 10, FALSE), 1)</f>
        <v>1.4441279949886731E-2</v>
      </c>
      <c r="U8" s="7">
        <f>$B8 * IFERROR(VLOOKUP("buildings|SO2|Asthma symptoms wheeze", US_national_yearly!$D:$AM, 29, FALSE) / VLOOKUP("buildings|SO2|Asthma symptoms wheeze", US_national_yearly!$D:$AM, 10, FALSE), 1)</f>
        <v>1.4441279949886731E-2</v>
      </c>
      <c r="V8" s="7">
        <f>$B8 * IFERROR(VLOOKUP("buildings|SO2|Asthma symptoms wheeze", US_national_yearly!$D:$AM, 30, FALSE) / VLOOKUP("buildings|SO2|Asthma symptoms wheeze", US_national_yearly!$D:$AM, 10, FALSE), 1)</f>
        <v>1.4441279949886731E-2</v>
      </c>
      <c r="W8" s="7">
        <f>$B8 * IFERROR(VLOOKUP("buildings|SO2|Asthma symptoms wheeze", US_national_yearly!$D:$AM, 31, FALSE) / VLOOKUP("buildings|SO2|Asthma symptoms wheeze", US_national_yearly!$D:$AM, 10, FALSE), 1)</f>
        <v>1.4441279949886731E-2</v>
      </c>
      <c r="X8" s="7">
        <f>$B8 * IFERROR(VLOOKUP("buildings|SO2|Asthma symptoms wheeze", US_national_yearly!$D:$AM, 32, FALSE) / VLOOKUP("buildings|SO2|Asthma symptoms wheeze", US_national_yearly!$D:$AM, 10, FALSE), 1)</f>
        <v>1.4441279949886731E-2</v>
      </c>
      <c r="Y8" s="7">
        <f>$B8 * IFERROR(VLOOKUP("buildings|SO2|Asthma symptoms wheeze", US_national_yearly!$D:$AM, 33, FALSE) / VLOOKUP("buildings|SO2|Asthma symptoms wheeze", US_national_yearly!$D:$AM, 10, FALSE), 1)</f>
        <v>1.4441279949886731E-2</v>
      </c>
      <c r="Z8" s="7">
        <f>$B8 * IFERROR(VLOOKUP("buildings|SO2|Asthma symptoms wheeze", US_national_yearly!$D:$AM, 34, FALSE) / VLOOKUP("buildings|SO2|Asthma symptoms wheeze", US_national_yearly!$D:$AM, 10, FALSE), 1)</f>
        <v>1.4441279949886731E-2</v>
      </c>
      <c r="AA8" s="7">
        <f>$B8 * IFERROR(VLOOKUP("buildings|SO2|Asthma symptoms wheeze", US_national_yearly!$D:$AM, 35, FALSE) / VLOOKUP("buildings|SO2|Asthma symptoms wheeze", US_national_yearly!$D:$AM, 10, FALSE), 1)</f>
        <v>1.4441279949886731E-2</v>
      </c>
      <c r="AB8" s="7">
        <f>$B8 * IFERROR(VLOOKUP("buildings|SO2|Asthma symptoms wheeze", US_national_yearly!$D:$AM, 36, FALSE) / VLOOKUP("buildings|SO2|Asthma symptoms wheeze", US_national_yearly!$D:$AM, 10, FALSE), 1)</f>
        <v>1.4441279949886731E-2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2.1408548366066968E-4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2.153499545262578E-4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2.1661442539184592E-4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2.1787889625743401E-4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2.1914336712302207E-4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2.2052148106088695E-4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2.218995949987518E-4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2.2325581114742606E-4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2.2461202729610034E-4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2.2596824344477457E-4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2.273244595934488E-4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2.2868067574212308E-4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2.2967093803969422E-4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2.3066120033726536E-4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2.3165146263483648E-4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2.3264172493240763E-4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2.3363198722997877E-4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2.3457621395469588E-4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2.3552044067941304E-4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2.3646466740413018E-4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2.3740889412884728E-4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2.3835312085356445E-4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2.3925038260377339E-4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2.4014764435398238E-4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2.4104490610419132E-4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2.4194216785440026E-4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2.4283942960460925E-4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1.3558691897350768E-3</v>
      </c>
      <c r="C13" s="7">
        <f>$B13 * IFERROR(VLOOKUP("buildings|SO2|Non-fatal heart attacks", US_national_yearly!$D:$AM, 11, FALSE) / VLOOKUP("buildings|SO2|Non-fatal heart attacks", US_national_yearly!$D:$AM, 10, FALSE), 1)</f>
        <v>1.3956854530876605E-3</v>
      </c>
      <c r="D13" s="7">
        <f>$B13 * IFERROR(VLOOKUP("buildings|SO2|Non-fatal heart attacks", US_national_yearly!$D:$AM, 12, FALSE) / VLOOKUP("buildings|SO2|Non-fatal heart attacks", US_national_yearly!$D:$AM, 10, FALSE), 1)</f>
        <v>1.4355017164402438E-3</v>
      </c>
      <c r="E13" s="7">
        <f>$B13 * IFERROR(VLOOKUP("buildings|SO2|Non-fatal heart attacks", US_national_yearly!$D:$AM, 13, FALSE) / VLOOKUP("buildings|SO2|Non-fatal heart attacks", US_national_yearly!$D:$AM, 10, FALSE), 1)</f>
        <v>1.475317979792827E-3</v>
      </c>
      <c r="F13" s="7">
        <f>$B13 * IFERROR(VLOOKUP("buildings|SO2|Non-fatal heart attacks", US_national_yearly!$D:$AM, 14, FALSE) / VLOOKUP("buildings|SO2|Non-fatal heart attacks", US_national_yearly!$D:$AM, 10, FALSE), 1)</f>
        <v>1.5151342431454105E-3</v>
      </c>
      <c r="G13" s="7">
        <f>$B13 * IFERROR(VLOOKUP("buildings|SO2|Non-fatal heart attacks", US_national_yearly!$D:$AM, 15, FALSE) / VLOOKUP("buildings|SO2|Non-fatal heart attacks", US_national_yearly!$D:$AM, 10, FALSE), 1)</f>
        <v>1.5526874010654815E-3</v>
      </c>
      <c r="H13" s="7">
        <f>$B13 * IFERROR(VLOOKUP("buildings|SO2|Non-fatal heart attacks", US_national_yearly!$D:$AM, 16, FALSE) / VLOOKUP("buildings|SO2|Non-fatal heart attacks", US_national_yearly!$D:$AM, 10, FALSE), 1)</f>
        <v>1.5902405589855527E-3</v>
      </c>
      <c r="I13" s="7">
        <f>$B13 * IFERROR(VLOOKUP("buildings|SO2|Non-fatal heart attacks", US_national_yearly!$D:$AM, 17, FALSE) / VLOOKUP("buildings|SO2|Non-fatal heart attacks", US_national_yearly!$D:$AM, 10, FALSE), 1)</f>
        <v>1.6204683619463406E-3</v>
      </c>
      <c r="J13" s="7">
        <f>$B13 * IFERROR(VLOOKUP("buildings|SO2|Non-fatal heart attacks", US_national_yearly!$D:$AM, 18, FALSE) / VLOOKUP("buildings|SO2|Non-fatal heart attacks", US_national_yearly!$D:$AM, 10, FALSE), 1)</f>
        <v>1.6506961649071291E-3</v>
      </c>
      <c r="K13" s="7">
        <f>$B13 * IFERROR(VLOOKUP("buildings|SO2|Non-fatal heart attacks", US_national_yearly!$D:$AM, 19, FALSE) / VLOOKUP("buildings|SO2|Non-fatal heart attacks", US_national_yearly!$D:$AM, 10, FALSE), 1)</f>
        <v>1.6809239678679173E-3</v>
      </c>
      <c r="L13" s="7">
        <f>$B13 * IFERROR(VLOOKUP("buildings|SO2|Non-fatal heart attacks", US_national_yearly!$D:$AM, 20, FALSE) / VLOOKUP("buildings|SO2|Non-fatal heart attacks", US_national_yearly!$D:$AM, 10, FALSE), 1)</f>
        <v>1.7111517708287059E-3</v>
      </c>
      <c r="M13" s="7">
        <f>$B13 * IFERROR(VLOOKUP("buildings|SO2|Non-fatal heart attacks", US_national_yearly!$D:$AM, 21, FALSE) / VLOOKUP("buildings|SO2|Non-fatal heart attacks", US_national_yearly!$D:$AM, 10, FALSE), 1)</f>
        <v>1.7413795737894944E-3</v>
      </c>
      <c r="N13" s="7">
        <f>$B13 * IFERROR(VLOOKUP("buildings|SO2|Non-fatal heart attacks", US_national_yearly!$D:$AM, 22, FALSE) / VLOOKUP("buildings|SO2|Non-fatal heart attacks", US_national_yearly!$D:$AM, 10, FALSE), 1)</f>
        <v>1.7609988230757293E-3</v>
      </c>
      <c r="O13" s="7">
        <f>$B13 * IFERROR(VLOOKUP("buildings|SO2|Non-fatal heart attacks", US_national_yearly!$D:$AM, 23, FALSE) / VLOOKUP("buildings|SO2|Non-fatal heart attacks", US_national_yearly!$D:$AM, 10, FALSE), 1)</f>
        <v>1.7806180723619644E-3</v>
      </c>
      <c r="P13" s="7">
        <f>$B13 * IFERROR(VLOOKUP("buildings|SO2|Non-fatal heart attacks", US_national_yearly!$D:$AM, 24, FALSE) / VLOOKUP("buildings|SO2|Non-fatal heart attacks", US_national_yearly!$D:$AM, 10, FALSE), 1)</f>
        <v>1.8002373216481991E-3</v>
      </c>
      <c r="Q13" s="7">
        <f>$B13 * IFERROR(VLOOKUP("buildings|SO2|Non-fatal heart attacks", US_national_yearly!$D:$AM, 25, FALSE) / VLOOKUP("buildings|SO2|Non-fatal heart attacks", US_national_yearly!$D:$AM, 10, FALSE), 1)</f>
        <v>1.819856570934434E-3</v>
      </c>
      <c r="R13" s="7">
        <f>$B13 * IFERROR(VLOOKUP("buildings|SO2|Non-fatal heart attacks", US_national_yearly!$D:$AM, 26, FALSE) / VLOOKUP("buildings|SO2|Non-fatal heart attacks", US_national_yearly!$D:$AM, 10, FALSE), 1)</f>
        <v>1.8394758202206691E-3</v>
      </c>
      <c r="S13" s="7">
        <f>$B13 * IFERROR(VLOOKUP("buildings|SO2|Non-fatal heart attacks", US_national_yearly!$D:$AM, 27, FALSE) / VLOOKUP("buildings|SO2|Non-fatal heart attacks", US_national_yearly!$D:$AM, 10, FALSE), 1)</f>
        <v>1.8497209600738373E-3</v>
      </c>
      <c r="T13" s="7">
        <f>$B13 * IFERROR(VLOOKUP("buildings|SO2|Non-fatal heart attacks", US_national_yearly!$D:$AM, 28, FALSE) / VLOOKUP("buildings|SO2|Non-fatal heart attacks", US_national_yearly!$D:$AM, 10, FALSE), 1)</f>
        <v>1.8599660999270055E-3</v>
      </c>
      <c r="U13" s="7">
        <f>$B13 * IFERROR(VLOOKUP("buildings|SO2|Non-fatal heart attacks", US_national_yearly!$D:$AM, 29, FALSE) / VLOOKUP("buildings|SO2|Non-fatal heart attacks", US_national_yearly!$D:$AM, 10, FALSE), 1)</f>
        <v>1.8702112397801732E-3</v>
      </c>
      <c r="V13" s="7">
        <f>$B13 * IFERROR(VLOOKUP("buildings|SO2|Non-fatal heart attacks", US_national_yearly!$D:$AM, 30, FALSE) / VLOOKUP("buildings|SO2|Non-fatal heart attacks", US_national_yearly!$D:$AM, 10, FALSE), 1)</f>
        <v>1.8804563796333414E-3</v>
      </c>
      <c r="W13" s="7">
        <f>$B13 * IFERROR(VLOOKUP("buildings|SO2|Non-fatal heart attacks", US_national_yearly!$D:$AM, 31, FALSE) / VLOOKUP("buildings|SO2|Non-fatal heart attacks", US_national_yearly!$D:$AM, 10, FALSE), 1)</f>
        <v>1.8907015194865092E-3</v>
      </c>
      <c r="X13" s="7">
        <f>$B13 * IFERROR(VLOOKUP("buildings|SO2|Non-fatal heart attacks", US_national_yearly!$D:$AM, 32, FALSE) / VLOOKUP("buildings|SO2|Non-fatal heart attacks", US_national_yearly!$D:$AM, 10, FALSE), 1)</f>
        <v>1.8984394014504541E-3</v>
      </c>
      <c r="Y13" s="7">
        <f>$B13 * IFERROR(VLOOKUP("buildings|SO2|Non-fatal heart attacks", US_national_yearly!$D:$AM, 33, FALSE) / VLOOKUP("buildings|SO2|Non-fatal heart attacks", US_national_yearly!$D:$AM, 10, FALSE), 1)</f>
        <v>1.9061772834143987E-3</v>
      </c>
      <c r="Z13" s="7">
        <f>$B13 * IFERROR(VLOOKUP("buildings|SO2|Non-fatal heart attacks", US_national_yearly!$D:$AM, 34, FALSE) / VLOOKUP("buildings|SO2|Non-fatal heart attacks", US_national_yearly!$D:$AM, 10, FALSE), 1)</f>
        <v>1.9139151653783429E-3</v>
      </c>
      <c r="AA13" s="7">
        <f>$B13 * IFERROR(VLOOKUP("buildings|SO2|Non-fatal heart attacks", US_national_yearly!$D:$AM, 35, FALSE) / VLOOKUP("buildings|SO2|Non-fatal heart attacks", US_national_yearly!$D:$AM, 10, FALSE), 1)</f>
        <v>1.9216530473422876E-3</v>
      </c>
      <c r="AB13" s="7">
        <f>$B13 * IFERROR(VLOOKUP("buildings|SO2|Non-fatal heart attacks", US_national_yearly!$D:$AM, 36, FALSE) / VLOOKUP("buildings|SO2|Non-fatal heart attacks", US_national_yearly!$D:$AM, 10, FALSE), 1)</f>
        <v>1.929390929306232E-3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0.86672494374073705</v>
      </c>
      <c r="C14" s="7">
        <f>$B14 * IFERROR(VLOOKUP("buildings|SO2|Minor restricted activity days", US_national_yearly!$D:$AM, 11, FALSE) / VLOOKUP("buildings|SO2|Minor restricted activity days", US_national_yearly!$D:$AM, 10, FALSE), 1)</f>
        <v>0.86891901227823487</v>
      </c>
      <c r="D14" s="7">
        <f>$B14 * IFERROR(VLOOKUP("buildings|SO2|Minor restricted activity days", US_national_yearly!$D:$AM, 12, FALSE) / VLOOKUP("buildings|SO2|Minor restricted activity days", US_national_yearly!$D:$AM, 10, FALSE), 1)</f>
        <v>0.87111308081573291</v>
      </c>
      <c r="E14" s="7">
        <f>$B14 * IFERROR(VLOOKUP("buildings|SO2|Minor restricted activity days", US_national_yearly!$D:$AM, 13, FALSE) / VLOOKUP("buildings|SO2|Minor restricted activity days", US_national_yearly!$D:$AM, 10, FALSE), 1)</f>
        <v>0.87330714935323106</v>
      </c>
      <c r="F14" s="7">
        <f>$B14 * IFERROR(VLOOKUP("buildings|SO2|Minor restricted activity days", US_national_yearly!$D:$AM, 14, FALSE) / VLOOKUP("buildings|SO2|Minor restricted activity days", US_national_yearly!$D:$AM, 10, FALSE), 1)</f>
        <v>0.87550121789072888</v>
      </c>
      <c r="G14" s="7">
        <f>$B14 * IFERROR(VLOOKUP("buildings|SO2|Minor restricted activity days", US_national_yearly!$D:$AM, 15, FALSE) / VLOOKUP("buildings|SO2|Minor restricted activity days", US_national_yearly!$D:$AM, 10, FALSE), 1)</f>
        <v>0.87872736798315576</v>
      </c>
      <c r="H14" s="7">
        <f>$B14 * IFERROR(VLOOKUP("buildings|SO2|Minor restricted activity days", US_national_yearly!$D:$AM, 16, FALSE) / VLOOKUP("buildings|SO2|Minor restricted activity days", US_national_yearly!$D:$AM, 10, FALSE), 1)</f>
        <v>0.88195351807558275</v>
      </c>
      <c r="I14" s="7">
        <f>$B14 * IFERROR(VLOOKUP("buildings|SO2|Minor restricted activity days", US_national_yearly!$D:$AM, 17, FALSE) / VLOOKUP("buildings|SO2|Minor restricted activity days", US_national_yearly!$D:$AM, 10, FALSE), 1)</f>
        <v>0.88744797634844663</v>
      </c>
      <c r="J14" s="7">
        <f>$B14 * IFERROR(VLOOKUP("buildings|SO2|Minor restricted activity days", US_national_yearly!$D:$AM, 18, FALSE) / VLOOKUP("buildings|SO2|Minor restricted activity days", US_national_yearly!$D:$AM, 10, FALSE), 1)</f>
        <v>0.89294243462131073</v>
      </c>
      <c r="K14" s="7">
        <f>$B14 * IFERROR(VLOOKUP("buildings|SO2|Minor restricted activity days", US_national_yearly!$D:$AM, 19, FALSE) / VLOOKUP("buildings|SO2|Minor restricted activity days", US_national_yearly!$D:$AM, 10, FALSE), 1)</f>
        <v>0.89843689289417472</v>
      </c>
      <c r="L14" s="7">
        <f>$B14 * IFERROR(VLOOKUP("buildings|SO2|Minor restricted activity days", US_national_yearly!$D:$AM, 20, FALSE) / VLOOKUP("buildings|SO2|Minor restricted activity days", US_national_yearly!$D:$AM, 10, FALSE), 1)</f>
        <v>0.9039313511670386</v>
      </c>
      <c r="M14" s="7">
        <f>$B14 * IFERROR(VLOOKUP("buildings|SO2|Minor restricted activity days", US_national_yearly!$D:$AM, 21, FALSE) / VLOOKUP("buildings|SO2|Minor restricted activity days", US_national_yearly!$D:$AM, 10, FALSE), 1)</f>
        <v>0.90942580943990248</v>
      </c>
      <c r="N14" s="7">
        <f>$B14 * IFERROR(VLOOKUP("buildings|SO2|Minor restricted activity days", US_national_yearly!$D:$AM, 22, FALSE) / VLOOKUP("buildings|SO2|Minor restricted activity days", US_national_yearly!$D:$AM, 10, FALSE), 1)</f>
        <v>0.91693919239872357</v>
      </c>
      <c r="O14" s="7">
        <f>$B14 * IFERROR(VLOOKUP("buildings|SO2|Minor restricted activity days", US_national_yearly!$D:$AM, 23, FALSE) / VLOOKUP("buildings|SO2|Minor restricted activity days", US_national_yearly!$D:$AM, 10, FALSE), 1)</f>
        <v>0.92445257535754455</v>
      </c>
      <c r="P14" s="7">
        <f>$B14 * IFERROR(VLOOKUP("buildings|SO2|Minor restricted activity days", US_national_yearly!$D:$AM, 24, FALSE) / VLOOKUP("buildings|SO2|Minor restricted activity days", US_national_yearly!$D:$AM, 10, FALSE), 1)</f>
        <v>0.93196595831636531</v>
      </c>
      <c r="Q14" s="7">
        <f>$B14 * IFERROR(VLOOKUP("buildings|SO2|Minor restricted activity days", US_national_yearly!$D:$AM, 25, FALSE) / VLOOKUP("buildings|SO2|Minor restricted activity days", US_national_yearly!$D:$AM, 10, FALSE), 1)</f>
        <v>0.9394793412751864</v>
      </c>
      <c r="R14" s="7">
        <f>$B14 * IFERROR(VLOOKUP("buildings|SO2|Minor restricted activity days", US_national_yearly!$D:$AM, 26, FALSE) / VLOOKUP("buildings|SO2|Minor restricted activity days", US_national_yearly!$D:$AM, 10, FALSE), 1)</f>
        <v>0.94699272423400738</v>
      </c>
      <c r="S14" s="7">
        <f>$B14 * IFERROR(VLOOKUP("buildings|SO2|Minor restricted activity days", US_national_yearly!$D:$AM, 27, FALSE) / VLOOKUP("buildings|SO2|Minor restricted activity days", US_national_yearly!$D:$AM, 10, FALSE), 1)</f>
        <v>0.95465213037866969</v>
      </c>
      <c r="T14" s="7">
        <f>$B14 * IFERROR(VLOOKUP("buildings|SO2|Minor restricted activity days", US_national_yearly!$D:$AM, 28, FALSE) / VLOOKUP("buildings|SO2|Minor restricted activity days", US_national_yearly!$D:$AM, 10, FALSE), 1)</f>
        <v>0.9623115365233319</v>
      </c>
      <c r="U14" s="7">
        <f>$B14 * IFERROR(VLOOKUP("buildings|SO2|Minor restricted activity days", US_national_yearly!$D:$AM, 29, FALSE) / VLOOKUP("buildings|SO2|Minor restricted activity days", US_national_yearly!$D:$AM, 10, FALSE), 1)</f>
        <v>0.96997094266799411</v>
      </c>
      <c r="V14" s="7">
        <f>$B14 * IFERROR(VLOOKUP("buildings|SO2|Minor restricted activity days", US_national_yearly!$D:$AM, 30, FALSE) / VLOOKUP("buildings|SO2|Minor restricted activity days", US_national_yearly!$D:$AM, 10, FALSE), 1)</f>
        <v>0.97763034881265642</v>
      </c>
      <c r="W14" s="7">
        <f>$B14 * IFERROR(VLOOKUP("buildings|SO2|Minor restricted activity days", US_national_yearly!$D:$AM, 31, FALSE) / VLOOKUP("buildings|SO2|Minor restricted activity days", US_national_yearly!$D:$AM, 10, FALSE), 1)</f>
        <v>0.98528975495731885</v>
      </c>
      <c r="X14" s="7">
        <f>$B14 * IFERROR(VLOOKUP("buildings|SO2|Minor restricted activity days", US_national_yearly!$D:$AM, 32, FALSE) / VLOOKUP("buildings|SO2|Minor restricted activity days", US_national_yearly!$D:$AM, 10, FALSE), 1)</f>
        <v>0.99202575940425353</v>
      </c>
      <c r="Y14" s="7">
        <f>$B14 * IFERROR(VLOOKUP("buildings|SO2|Minor restricted activity days", US_national_yearly!$D:$AM, 33, FALSE) / VLOOKUP("buildings|SO2|Minor restricted activity days", US_national_yearly!$D:$AM, 10, FALSE), 1)</f>
        <v>0.99876176385118831</v>
      </c>
      <c r="Z14" s="7">
        <f>$B14 * IFERROR(VLOOKUP("buildings|SO2|Minor restricted activity days", US_national_yearly!$D:$AM, 34, FALSE) / VLOOKUP("buildings|SO2|Minor restricted activity days", US_national_yearly!$D:$AM, 10, FALSE), 1)</f>
        <v>1.005497768298123</v>
      </c>
      <c r="AA14" s="7">
        <f>$B14 * IFERROR(VLOOKUP("buildings|SO2|Minor restricted activity days", US_national_yearly!$D:$AM, 35, FALSE) / VLOOKUP("buildings|SO2|Minor restricted activity days", US_national_yearly!$D:$AM, 10, FALSE), 1)</f>
        <v>1.0122337727450579</v>
      </c>
      <c r="AB14" s="7">
        <f>$B14 * IFERROR(VLOOKUP("buildings|SO2|Minor restricted activity days", US_national_yearly!$D:$AM, 36, FALSE) / VLOOKUP("buildings|SO2|Minor restricted activity days", US_national_yearly!$D:$AM, 10, FALSE), 1)</f>
        <v>1.0189697771919923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0.14621518998530428</v>
      </c>
      <c r="C15" s="7">
        <f>$B15 * IFERROR(VLOOKUP("buildings|SO2|Work loss days", US_national_yearly!$D:$AM, 11, FALSE) / VLOOKUP("buildings|SO2|Work loss days", US_national_yearly!$D:$AM, 10, FALSE), 1)</f>
        <v>0.14669024075640472</v>
      </c>
      <c r="D15" s="7">
        <f>$B15 * IFERROR(VLOOKUP("buildings|SO2|Work loss days", US_national_yearly!$D:$AM, 12, FALSE) / VLOOKUP("buildings|SO2|Work loss days", US_national_yearly!$D:$AM, 10, FALSE), 1)</f>
        <v>0.14716529152750513</v>
      </c>
      <c r="E15" s="7">
        <f>$B15 * IFERROR(VLOOKUP("buildings|SO2|Work loss days", US_national_yearly!$D:$AM, 13, FALSE) / VLOOKUP("buildings|SO2|Work loss days", US_national_yearly!$D:$AM, 10, FALSE), 1)</f>
        <v>0.14764034229860556</v>
      </c>
      <c r="F15" s="7">
        <f>$B15 * IFERROR(VLOOKUP("buildings|SO2|Work loss days", US_national_yearly!$D:$AM, 14, FALSE) / VLOOKUP("buildings|SO2|Work loss days", US_national_yearly!$D:$AM, 10, FALSE), 1)</f>
        <v>0.14811539306970595</v>
      </c>
      <c r="G15" s="7">
        <f>$B15 * IFERROR(VLOOKUP("buildings|SO2|Work loss days", US_national_yearly!$D:$AM, 15, FALSE) / VLOOKUP("buildings|SO2|Work loss days", US_national_yearly!$D:$AM, 10, FALSE), 1)</f>
        <v>0.14873583566541768</v>
      </c>
      <c r="H15" s="7">
        <f>$B15 * IFERROR(VLOOKUP("buildings|SO2|Work loss days", US_national_yearly!$D:$AM, 16, FALSE) / VLOOKUP("buildings|SO2|Work loss days", US_national_yearly!$D:$AM, 10, FALSE), 1)</f>
        <v>0.14935627826112943</v>
      </c>
      <c r="I15" s="7">
        <f>$B15 * IFERROR(VLOOKUP("buildings|SO2|Work loss days", US_national_yearly!$D:$AM, 17, FALSE) / VLOOKUP("buildings|SO2|Work loss days", US_national_yearly!$D:$AM, 10, FALSE), 1)</f>
        <v>0.15026340006357611</v>
      </c>
      <c r="J15" s="7">
        <f>$B15 * IFERROR(VLOOKUP("buildings|SO2|Work loss days", US_national_yearly!$D:$AM, 18, FALSE) / VLOOKUP("buildings|SO2|Work loss days", US_national_yearly!$D:$AM, 10, FALSE), 1)</f>
        <v>0.15117052186602273</v>
      </c>
      <c r="K15" s="7">
        <f>$B15 * IFERROR(VLOOKUP("buildings|SO2|Work loss days", US_national_yearly!$D:$AM, 19, FALSE) / VLOOKUP("buildings|SO2|Work loss days", US_national_yearly!$D:$AM, 10, FALSE), 1)</f>
        <v>0.1520776436684694</v>
      </c>
      <c r="L15" s="7">
        <f>$B15 * IFERROR(VLOOKUP("buildings|SO2|Work loss days", US_national_yearly!$D:$AM, 20, FALSE) / VLOOKUP("buildings|SO2|Work loss days", US_national_yearly!$D:$AM, 10, FALSE), 1)</f>
        <v>0.15298476547091605</v>
      </c>
      <c r="M15" s="7">
        <f>$B15 * IFERROR(VLOOKUP("buildings|SO2|Work loss days", US_national_yearly!$D:$AM, 21, FALSE) / VLOOKUP("buildings|SO2|Work loss days", US_national_yearly!$D:$AM, 10, FALSE), 1)</f>
        <v>0.15389188727336267</v>
      </c>
      <c r="N15" s="7">
        <f>$B15 * IFERROR(VLOOKUP("buildings|SO2|Work loss days", US_national_yearly!$D:$AM, 22, FALSE) / VLOOKUP("buildings|SO2|Work loss days", US_national_yearly!$D:$AM, 10, FALSE), 1)</f>
        <v>0.15502940315380984</v>
      </c>
      <c r="O15" s="7">
        <f>$B15 * IFERROR(VLOOKUP("buildings|SO2|Work loss days", US_national_yearly!$D:$AM, 23, FALSE) / VLOOKUP("buildings|SO2|Work loss days", US_national_yearly!$D:$AM, 10, FALSE), 1)</f>
        <v>0.15616691903425697</v>
      </c>
      <c r="P15" s="7">
        <f>$B15 * IFERROR(VLOOKUP("buildings|SO2|Work loss days", US_national_yearly!$D:$AM, 24, FALSE) / VLOOKUP("buildings|SO2|Work loss days", US_national_yearly!$D:$AM, 10, FALSE), 1)</f>
        <v>0.15730443491470411</v>
      </c>
      <c r="Q15" s="7">
        <f>$B15 * IFERROR(VLOOKUP("buildings|SO2|Work loss days", US_national_yearly!$D:$AM, 25, FALSE) / VLOOKUP("buildings|SO2|Work loss days", US_national_yearly!$D:$AM, 10, FALSE), 1)</f>
        <v>0.15844195079515128</v>
      </c>
      <c r="R15" s="7">
        <f>$B15 * IFERROR(VLOOKUP("buildings|SO2|Work loss days", US_national_yearly!$D:$AM, 26, FALSE) / VLOOKUP("buildings|SO2|Work loss days", US_national_yearly!$D:$AM, 10, FALSE), 1)</f>
        <v>0.15957946667559839</v>
      </c>
      <c r="S15" s="7">
        <f>$B15 * IFERROR(VLOOKUP("buildings|SO2|Work loss days", US_national_yearly!$D:$AM, 27, FALSE) / VLOOKUP("buildings|SO2|Work loss days", US_national_yearly!$D:$AM, 10, FALSE), 1)</f>
        <v>0.16085017155422121</v>
      </c>
      <c r="T15" s="7">
        <f>$B15 * IFERROR(VLOOKUP("buildings|SO2|Work loss days", US_national_yearly!$D:$AM, 28, FALSE) / VLOOKUP("buildings|SO2|Work loss days", US_national_yearly!$D:$AM, 10, FALSE), 1)</f>
        <v>0.16212087643284406</v>
      </c>
      <c r="U15" s="7">
        <f>$B15 * IFERROR(VLOOKUP("buildings|SO2|Work loss days", US_national_yearly!$D:$AM, 29, FALSE) / VLOOKUP("buildings|SO2|Work loss days", US_national_yearly!$D:$AM, 10, FALSE), 1)</f>
        <v>0.16339158131146689</v>
      </c>
      <c r="V15" s="7">
        <f>$B15 * IFERROR(VLOOKUP("buildings|SO2|Work loss days", US_national_yearly!$D:$AM, 30, FALSE) / VLOOKUP("buildings|SO2|Work loss days", US_national_yearly!$D:$AM, 10, FALSE), 1)</f>
        <v>0.16466228619008969</v>
      </c>
      <c r="W15" s="7">
        <f>$B15 * IFERROR(VLOOKUP("buildings|SO2|Work loss days", US_national_yearly!$D:$AM, 31, FALSE) / VLOOKUP("buildings|SO2|Work loss days", US_national_yearly!$D:$AM, 10, FALSE), 1)</f>
        <v>0.16593299106871254</v>
      </c>
      <c r="X15" s="7">
        <f>$B15 * IFERROR(VLOOKUP("buildings|SO2|Work loss days", US_national_yearly!$D:$AM, 32, FALSE) / VLOOKUP("buildings|SO2|Work loss days", US_national_yearly!$D:$AM, 10, FALSE), 1)</f>
        <v>0.16707393426671296</v>
      </c>
      <c r="Y15" s="7">
        <f>$B15 * IFERROR(VLOOKUP("buildings|SO2|Work loss days", US_national_yearly!$D:$AM, 33, FALSE) / VLOOKUP("buildings|SO2|Work loss days", US_national_yearly!$D:$AM, 10, FALSE), 1)</f>
        <v>0.16821487746471336</v>
      </c>
      <c r="Z15" s="7">
        <f>$B15 * IFERROR(VLOOKUP("buildings|SO2|Work loss days", US_national_yearly!$D:$AM, 34, FALSE) / VLOOKUP("buildings|SO2|Work loss days", US_national_yearly!$D:$AM, 10, FALSE), 1)</f>
        <v>0.16935582066271376</v>
      </c>
      <c r="AA15" s="7">
        <f>$B15 * IFERROR(VLOOKUP("buildings|SO2|Work loss days", US_national_yearly!$D:$AM, 35, FALSE) / VLOOKUP("buildings|SO2|Work loss days", US_national_yearly!$D:$AM, 10, FALSE), 1)</f>
        <v>0.17049676386071419</v>
      </c>
      <c r="AB15" s="7">
        <f>$B15 * IFERROR(VLOOKUP("buildings|SO2|Work loss days", US_national_yearly!$D:$AM, 36, FALSE) / VLOOKUP("buildings|SO2|Work loss days", US_national_yearly!$D:$AM, 10, FALSE), 1)</f>
        <v>0.17163770705871459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3.6663029521033161E-4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3.7772062644545043E-4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3.888109576805693E-4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3.9990128891568823E-4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4.109916201508071E-4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4.2161549317755096E-4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4.3223936620429471E-4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4.4134400398669854E-4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4.5044864176910216E-4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4.5955327955150599E-4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4.6865791733390972E-4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4.7776255511631339E-4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4.8387613692013007E-4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4.899897187239467E-4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4.9610330052776339E-4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5.0221688233157997E-4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5.0833046413539665E-4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5.1154546765831818E-4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5.147604711812396E-4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5.1797547470416102E-4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5.2119047822708243E-4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5.2440548175000385E-4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5.2656436384311111E-4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5.2872324593621837E-4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5.3088212802932563E-4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5.3304101012243289E-4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5.3519989221554015E-4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1.7581978447886712E-2</v>
      </c>
      <c r="C2" s="7">
        <f>$B2 * IFERROR(VLOOKUP("industry|PM25|Premature mortality", US_national_yearly!$D:$AM, 11, FALSE) / VLOOKUP("industry|PM25|Premature mortality", US_national_yearly!$D:$AM, 10, FALSE), 1)</f>
        <v>1.780093153561281E-2</v>
      </c>
      <c r="D2" s="7">
        <f>$B2 * IFERROR(VLOOKUP("industry|PM25|Premature mortality", US_national_yearly!$D:$AM, 12, FALSE) / VLOOKUP("industry|PM25|Premature mortality", US_national_yearly!$D:$AM, 10, FALSE), 1)</f>
        <v>1.8019884623338901E-2</v>
      </c>
      <c r="E2" s="7">
        <f>$B2 * IFERROR(VLOOKUP("industry|PM25|Premature mortality", US_national_yearly!$D:$AM, 13, FALSE) / VLOOKUP("industry|PM25|Premature mortality", US_national_yearly!$D:$AM, 10, FALSE), 1)</f>
        <v>1.8238837711064999E-2</v>
      </c>
      <c r="F2" s="7">
        <f>$B2 * IFERROR(VLOOKUP("industry|PM25|Premature mortality", US_national_yearly!$D:$AM, 14, FALSE) / VLOOKUP("industry|PM25|Premature mortality", US_national_yearly!$D:$AM, 10, FALSE), 1)</f>
        <v>1.8457790798791091E-2</v>
      </c>
      <c r="G2" s="7">
        <f>$B2 * IFERROR(VLOOKUP("industry|PM25|Premature mortality", US_national_yearly!$D:$AM, 15, FALSE) / VLOOKUP("industry|PM25|Premature mortality", US_national_yearly!$D:$AM, 10, FALSE), 1)</f>
        <v>1.8883760630084977E-2</v>
      </c>
      <c r="H2" s="7">
        <f>$B2 * IFERROR(VLOOKUP("industry|PM25|Premature mortality", US_national_yearly!$D:$AM, 16, FALSE) / VLOOKUP("industry|PM25|Premature mortality", US_national_yearly!$D:$AM, 10, FALSE), 1)</f>
        <v>1.9309730461378859E-2</v>
      </c>
      <c r="I2" s="7">
        <f>$B2 * IFERROR(VLOOKUP("industry|PM25|Premature mortality", US_national_yearly!$D:$AM, 17, FALSE) / VLOOKUP("industry|PM25|Premature mortality", US_national_yearly!$D:$AM, 10, FALSE), 1)</f>
        <v>1.9590996924920522E-2</v>
      </c>
      <c r="J2" s="7">
        <f>$B2 * IFERROR(VLOOKUP("industry|PM25|Premature mortality", US_national_yearly!$D:$AM, 18, FALSE) / VLOOKUP("industry|PM25|Premature mortality", US_national_yearly!$D:$AM, 10, FALSE), 1)</f>
        <v>1.9872263388462184E-2</v>
      </c>
      <c r="K2" s="7">
        <f>$B2 * IFERROR(VLOOKUP("industry|PM25|Premature mortality", US_national_yearly!$D:$AM, 19, FALSE) / VLOOKUP("industry|PM25|Premature mortality", US_national_yearly!$D:$AM, 10, FALSE), 1)</f>
        <v>2.0153529852003842E-2</v>
      </c>
      <c r="L2" s="7">
        <f>$B2 * IFERROR(VLOOKUP("industry|PM25|Premature mortality", US_national_yearly!$D:$AM, 20, FALSE) / VLOOKUP("industry|PM25|Premature mortality", US_national_yearly!$D:$AM, 10, FALSE), 1)</f>
        <v>2.0434796315545501E-2</v>
      </c>
      <c r="M2" s="7">
        <f>$B2 * IFERROR(VLOOKUP("industry|PM25|Premature mortality", US_national_yearly!$D:$AM, 21, FALSE) / VLOOKUP("industry|PM25|Premature mortality", US_national_yearly!$D:$AM, 10, FALSE), 1)</f>
        <v>2.0716062779087163E-2</v>
      </c>
      <c r="N2" s="7">
        <f>$B2 * IFERROR(VLOOKUP("industry|PM25|Premature mortality", US_national_yearly!$D:$AM, 22, FALSE) / VLOOKUP("industry|PM25|Premature mortality", US_national_yearly!$D:$AM, 10, FALSE), 1)</f>
        <v>2.0935193401587116E-2</v>
      </c>
      <c r="O2" s="7">
        <f>$B2 * IFERROR(VLOOKUP("industry|PM25|Premature mortality", US_national_yearly!$D:$AM, 23, FALSE) / VLOOKUP("industry|PM25|Premature mortality", US_national_yearly!$D:$AM, 10, FALSE), 1)</f>
        <v>2.1154324024087068E-2</v>
      </c>
      <c r="P2" s="7">
        <f>$B2 * IFERROR(VLOOKUP("industry|PM25|Premature mortality", US_national_yearly!$D:$AM, 24, FALSE) / VLOOKUP("industry|PM25|Premature mortality", US_national_yearly!$D:$AM, 10, FALSE), 1)</f>
        <v>2.137345464658702E-2</v>
      </c>
      <c r="Q2" s="7">
        <f>$B2 * IFERROR(VLOOKUP("industry|PM25|Premature mortality", US_national_yearly!$D:$AM, 25, FALSE) / VLOOKUP("industry|PM25|Premature mortality", US_national_yearly!$D:$AM, 10, FALSE), 1)</f>
        <v>2.1592585269086972E-2</v>
      </c>
      <c r="R2" s="7">
        <f>$B2 * IFERROR(VLOOKUP("industry|PM25|Premature mortality", US_national_yearly!$D:$AM, 26, FALSE) / VLOOKUP("industry|PM25|Premature mortality", US_national_yearly!$D:$AM, 10, FALSE), 1)</f>
        <v>2.1811715891586921E-2</v>
      </c>
      <c r="S2" s="7">
        <f>$B2 * IFERROR(VLOOKUP("industry|PM25|Premature mortality", US_national_yearly!$D:$AM, 27, FALSE) / VLOOKUP("industry|PM25|Premature mortality", US_national_yearly!$D:$AM, 10, FALSE), 1)</f>
        <v>2.1930038300242722E-2</v>
      </c>
      <c r="T2" s="7">
        <f>$B2 * IFERROR(VLOOKUP("industry|PM25|Premature mortality", US_national_yearly!$D:$AM, 28, FALSE) / VLOOKUP("industry|PM25|Premature mortality", US_national_yearly!$D:$AM, 10, FALSE), 1)</f>
        <v>2.2048360708898523E-2</v>
      </c>
      <c r="U2" s="7">
        <f>$B2 * IFERROR(VLOOKUP("industry|PM25|Premature mortality", US_national_yearly!$D:$AM, 29, FALSE) / VLOOKUP("industry|PM25|Premature mortality", US_national_yearly!$D:$AM, 10, FALSE), 1)</f>
        <v>2.216668311755433E-2</v>
      </c>
      <c r="V2" s="7">
        <f>$B2 * IFERROR(VLOOKUP("industry|PM25|Premature mortality", US_national_yearly!$D:$AM, 30, FALSE) / VLOOKUP("industry|PM25|Premature mortality", US_national_yearly!$D:$AM, 10, FALSE), 1)</f>
        <v>2.2285005526210131E-2</v>
      </c>
      <c r="W2" s="7">
        <f>$B2 * IFERROR(VLOOKUP("industry|PM25|Premature mortality", US_national_yearly!$D:$AM, 31, FALSE) / VLOOKUP("industry|PM25|Premature mortality", US_national_yearly!$D:$AM, 10, FALSE), 1)</f>
        <v>2.2403327934865932E-2</v>
      </c>
      <c r="X2" s="7">
        <f>$B2 * IFERROR(VLOOKUP("industry|PM25|Premature mortality", US_national_yearly!$D:$AM, 32, FALSE) / VLOOKUP("industry|PM25|Premature mortality", US_national_yearly!$D:$AM, 10, FALSE), 1)</f>
        <v>2.2427757364976875E-2</v>
      </c>
      <c r="Y2" s="7">
        <f>$B2 * IFERROR(VLOOKUP("industry|PM25|Premature mortality", US_national_yearly!$D:$AM, 33, FALSE) / VLOOKUP("industry|PM25|Premature mortality", US_national_yearly!$D:$AM, 10, FALSE), 1)</f>
        <v>2.2452186795087831E-2</v>
      </c>
      <c r="Z2" s="7">
        <f>$B2 * IFERROR(VLOOKUP("industry|PM25|Premature mortality", US_national_yearly!$D:$AM, 34, FALSE) / VLOOKUP("industry|PM25|Premature mortality", US_national_yearly!$D:$AM, 10, FALSE), 1)</f>
        <v>2.2476616225198774E-2</v>
      </c>
      <c r="AA2" s="7">
        <f>$B2 * IFERROR(VLOOKUP("industry|PM25|Premature mortality", US_national_yearly!$D:$AM, 35, FALSE) / VLOOKUP("industry|PM25|Premature mortality", US_national_yearly!$D:$AM, 10, FALSE), 1)</f>
        <v>2.2501045655309724E-2</v>
      </c>
      <c r="AB2" s="7">
        <f>$B2 * IFERROR(VLOOKUP("industry|PM25|Premature mortality", US_national_yearly!$D:$AM, 36, FALSE) / VLOOKUP("industry|PM25|Premature mortality", US_national_yearly!$D:$AM, 10, FALSE), 1)</f>
        <v>2.252547508542067E-2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3.9848469211830131E-5</v>
      </c>
      <c r="C3" s="7">
        <f>$B3 * IFERROR(VLOOKUP("industry|PM25|Infant mortality", US_national_yearly!$D:$AM, 11, FALSE) / VLOOKUP("industry|PM25|Infant mortality", US_national_yearly!$D:$AM, 10, FALSE), 1)</f>
        <v>3.9501514613534322E-5</v>
      </c>
      <c r="D3" s="7">
        <f>$B3 * IFERROR(VLOOKUP("industry|PM25|Infant mortality", US_national_yearly!$D:$AM, 12, FALSE) / VLOOKUP("industry|PM25|Infant mortality", US_national_yearly!$D:$AM, 10, FALSE), 1)</f>
        <v>3.9154560015238506E-5</v>
      </c>
      <c r="E3" s="7">
        <f>$B3 * IFERROR(VLOOKUP("industry|PM25|Infant mortality", US_national_yearly!$D:$AM, 13, FALSE) / VLOOKUP("industry|PM25|Infant mortality", US_national_yearly!$D:$AM, 10, FALSE), 1)</f>
        <v>3.8807605416942689E-5</v>
      </c>
      <c r="F3" s="7">
        <f>$B3 * IFERROR(VLOOKUP("industry|PM25|Infant mortality", US_national_yearly!$D:$AM, 14, FALSE) / VLOOKUP("industry|PM25|Infant mortality", US_national_yearly!$D:$AM, 10, FALSE), 1)</f>
        <v>3.846065081864688E-5</v>
      </c>
      <c r="G3" s="7">
        <f>$B3 * IFERROR(VLOOKUP("industry|PM25|Infant mortality", US_national_yearly!$D:$AM, 15, FALSE) / VLOOKUP("industry|PM25|Infant mortality", US_national_yearly!$D:$AM, 10, FALSE), 1)</f>
        <v>2.5554602641367466E-5</v>
      </c>
      <c r="H3" s="7">
        <f>$B3 * IFERROR(VLOOKUP("industry|PM25|Infant mortality", US_national_yearly!$D:$AM, 16, FALSE) / VLOOKUP("industry|PM25|Infant mortality", US_national_yearly!$D:$AM, 10, FALSE), 1)</f>
        <v>1.2648554464088048E-5</v>
      </c>
      <c r="I3" s="7">
        <f>$B3 * IFERROR(VLOOKUP("industry|PM25|Infant mortality", US_national_yearly!$D:$AM, 17, FALSE) / VLOOKUP("industry|PM25|Infant mortality", US_national_yearly!$D:$AM, 10, FALSE), 1)</f>
        <v>1.2564365858691077E-5</v>
      </c>
      <c r="J3" s="7">
        <f>$B3 * IFERROR(VLOOKUP("industry|PM25|Infant mortality", US_national_yearly!$D:$AM, 18, FALSE) / VLOOKUP("industry|PM25|Infant mortality", US_national_yearly!$D:$AM, 10, FALSE), 1)</f>
        <v>1.2480177253294105E-5</v>
      </c>
      <c r="K3" s="7">
        <f>$B3 * IFERROR(VLOOKUP("industry|PM25|Infant mortality", US_national_yearly!$D:$AM, 19, FALSE) / VLOOKUP("industry|PM25|Infant mortality", US_national_yearly!$D:$AM, 10, FALSE), 1)</f>
        <v>1.2395988647897135E-5</v>
      </c>
      <c r="L3" s="7">
        <f>$B3 * IFERROR(VLOOKUP("industry|PM25|Infant mortality", US_national_yearly!$D:$AM, 20, FALSE) / VLOOKUP("industry|PM25|Infant mortality", US_national_yearly!$D:$AM, 10, FALSE), 1)</f>
        <v>1.2311800042500161E-5</v>
      </c>
      <c r="M3" s="7">
        <f>$B3 * IFERROR(VLOOKUP("industry|PM25|Infant mortality", US_national_yearly!$D:$AM, 21, FALSE) / VLOOKUP("industry|PM25|Infant mortality", US_national_yearly!$D:$AM, 10, FALSE), 1)</f>
        <v>1.2227611437103192E-5</v>
      </c>
      <c r="N3" s="7">
        <f>$B3 * IFERROR(VLOOKUP("industry|PM25|Infant mortality", US_national_yearly!$D:$AM, 22, FALSE) / VLOOKUP("industry|PM25|Infant mortality", US_national_yearly!$D:$AM, 10, FALSE), 1)</f>
        <v>1.2173890908646383E-5</v>
      </c>
      <c r="O3" s="7">
        <f>$B3 * IFERROR(VLOOKUP("industry|PM25|Infant mortality", US_national_yearly!$D:$AM, 23, FALSE) / VLOOKUP("industry|PM25|Infant mortality", US_national_yearly!$D:$AM, 10, FALSE), 1)</f>
        <v>1.2120170380189575E-5</v>
      </c>
      <c r="P3" s="7">
        <f>$B3 * IFERROR(VLOOKUP("industry|PM25|Infant mortality", US_national_yearly!$D:$AM, 24, FALSE) / VLOOKUP("industry|PM25|Infant mortality", US_national_yearly!$D:$AM, 10, FALSE), 1)</f>
        <v>1.2066449851732771E-5</v>
      </c>
      <c r="Q3" s="7">
        <f>$B3 * IFERROR(VLOOKUP("industry|PM25|Infant mortality", US_national_yearly!$D:$AM, 25, FALSE) / VLOOKUP("industry|PM25|Infant mortality", US_national_yearly!$D:$AM, 10, FALSE), 1)</f>
        <v>1.2012729323275964E-5</v>
      </c>
      <c r="R3" s="7">
        <f>$B3 * IFERROR(VLOOKUP("industry|PM25|Infant mortality", US_national_yearly!$D:$AM, 26, FALSE) / VLOOKUP("industry|PM25|Infant mortality", US_national_yearly!$D:$AM, 10, FALSE), 1)</f>
        <v>1.1959008794819157E-5</v>
      </c>
      <c r="S3" s="7">
        <f>$B3 * IFERROR(VLOOKUP("industry|PM25|Infant mortality", US_national_yearly!$D:$AM, 27, FALSE) / VLOOKUP("industry|PM25|Infant mortality", US_national_yearly!$D:$AM, 10, FALSE), 1)</f>
        <v>1.1892937395263655E-5</v>
      </c>
      <c r="T3" s="7">
        <f>$B3 * IFERROR(VLOOKUP("industry|PM25|Infant mortality", US_national_yearly!$D:$AM, 28, FALSE) / VLOOKUP("industry|PM25|Infant mortality", US_national_yearly!$D:$AM, 10, FALSE), 1)</f>
        <v>1.1826865995708154E-5</v>
      </c>
      <c r="U3" s="7">
        <f>$B3 * IFERROR(VLOOKUP("industry|PM25|Infant mortality", US_national_yearly!$D:$AM, 29, FALSE) / VLOOKUP("industry|PM25|Infant mortality", US_national_yearly!$D:$AM, 10, FALSE), 1)</f>
        <v>1.1760794596152652E-5</v>
      </c>
      <c r="V3" s="7">
        <f>$B3 * IFERROR(VLOOKUP("industry|PM25|Infant mortality", US_national_yearly!$D:$AM, 30, FALSE) / VLOOKUP("industry|PM25|Infant mortality", US_national_yearly!$D:$AM, 10, FALSE), 1)</f>
        <v>1.1694723196597151E-5</v>
      </c>
      <c r="W3" s="7">
        <f>$B3 * IFERROR(VLOOKUP("industry|PM25|Infant mortality", US_national_yearly!$D:$AM, 31, FALSE) / VLOOKUP("industry|PM25|Infant mortality", US_national_yearly!$D:$AM, 10, FALSE), 1)</f>
        <v>1.1628651797041651E-5</v>
      </c>
      <c r="X3" s="7">
        <f>$B3 * IFERROR(VLOOKUP("industry|PM25|Infant mortality", US_national_yearly!$D:$AM, 32, FALSE) / VLOOKUP("industry|PM25|Infant mortality", US_national_yearly!$D:$AM, 10, FALSE), 1)</f>
        <v>1.1558046227640883E-5</v>
      </c>
      <c r="Y3" s="7">
        <f>$B3 * IFERROR(VLOOKUP("industry|PM25|Infant mortality", US_national_yearly!$D:$AM, 33, FALSE) / VLOOKUP("industry|PM25|Infant mortality", US_national_yearly!$D:$AM, 10, FALSE), 1)</f>
        <v>1.1487440658240117E-5</v>
      </c>
      <c r="Z3" s="7">
        <f>$B3 * IFERROR(VLOOKUP("industry|PM25|Infant mortality", US_national_yearly!$D:$AM, 34, FALSE) / VLOOKUP("industry|PM25|Infant mortality", US_national_yearly!$D:$AM, 10, FALSE), 1)</f>
        <v>1.1416835088839349E-5</v>
      </c>
      <c r="AA3" s="7">
        <f>$B3 * IFERROR(VLOOKUP("industry|PM25|Infant mortality", US_national_yearly!$D:$AM, 35, FALSE) / VLOOKUP("industry|PM25|Infant mortality", US_national_yearly!$D:$AM, 10, FALSE), 1)</f>
        <v>1.1346229519438582E-5</v>
      </c>
      <c r="AB3" s="7">
        <f>$B3 * IFERROR(VLOOKUP("industry|PM25|Infant mortality", US_national_yearly!$D:$AM, 36, FALSE) / VLOOKUP("industry|PM25|Infant mortality", US_national_yearly!$D:$AM, 10, FALSE), 1)</f>
        <v>1.1275623950037816E-5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3.8521597148999345E-2</v>
      </c>
      <c r="C6" s="7">
        <f>$B6 * IFERROR(VLOOKUP("industry|PM25|Asthma symptoms cough", US_national_yearly!$D:$AM, 11, FALSE) / VLOOKUP("industry|PM25|Asthma symptoms cough", US_national_yearly!$D:$AM, 10, FALSE), 1)</f>
        <v>3.8521597148999345E-2</v>
      </c>
      <c r="D6" s="7">
        <f>$B6 * IFERROR(VLOOKUP("industry|PM25|Asthma symptoms cough", US_national_yearly!$D:$AM, 12, FALSE) / VLOOKUP("industry|PM25|Asthma symptoms cough", US_national_yearly!$D:$AM, 10, FALSE), 1)</f>
        <v>3.8521597148999345E-2</v>
      </c>
      <c r="E6" s="7">
        <f>$B6 * IFERROR(VLOOKUP("industry|PM25|Asthma symptoms cough", US_national_yearly!$D:$AM, 13, FALSE) / VLOOKUP("industry|PM25|Asthma symptoms cough", US_national_yearly!$D:$AM, 10, FALSE), 1)</f>
        <v>3.8521597148999345E-2</v>
      </c>
      <c r="F6" s="7">
        <f>$B6 * IFERROR(VLOOKUP("industry|PM25|Asthma symptoms cough", US_national_yearly!$D:$AM, 14, FALSE) / VLOOKUP("industry|PM25|Asthma symptoms cough", US_national_yearly!$D:$AM, 10, FALSE), 1)</f>
        <v>3.8521597148999345E-2</v>
      </c>
      <c r="G6" s="7">
        <f>$B6 * IFERROR(VLOOKUP("industry|PM25|Asthma symptoms cough", US_national_yearly!$D:$AM, 15, FALSE) / VLOOKUP("industry|PM25|Asthma symptoms cough", US_national_yearly!$D:$AM, 10, FALSE), 1)</f>
        <v>3.8521597148999345E-2</v>
      </c>
      <c r="H6" s="7">
        <f>$B6 * IFERROR(VLOOKUP("industry|PM25|Asthma symptoms cough", US_national_yearly!$D:$AM, 16, FALSE) / VLOOKUP("industry|PM25|Asthma symptoms cough", US_national_yearly!$D:$AM, 10, FALSE), 1)</f>
        <v>3.8521597148999345E-2</v>
      </c>
      <c r="I6" s="7">
        <f>$B6 * IFERROR(VLOOKUP("industry|PM25|Asthma symptoms cough", US_national_yearly!$D:$AM, 17, FALSE) / VLOOKUP("industry|PM25|Asthma symptoms cough", US_national_yearly!$D:$AM, 10, FALSE), 1)</f>
        <v>3.8521597148999345E-2</v>
      </c>
      <c r="J6" s="7">
        <f>$B6 * IFERROR(VLOOKUP("industry|PM25|Asthma symptoms cough", US_national_yearly!$D:$AM, 18, FALSE) / VLOOKUP("industry|PM25|Asthma symptoms cough", US_national_yearly!$D:$AM, 10, FALSE), 1)</f>
        <v>3.8521597148999345E-2</v>
      </c>
      <c r="K6" s="7">
        <f>$B6 * IFERROR(VLOOKUP("industry|PM25|Asthma symptoms cough", US_national_yearly!$D:$AM, 19, FALSE) / VLOOKUP("industry|PM25|Asthma symptoms cough", US_national_yearly!$D:$AM, 10, FALSE), 1)</f>
        <v>3.8521597148999345E-2</v>
      </c>
      <c r="L6" s="7">
        <f>$B6 * IFERROR(VLOOKUP("industry|PM25|Asthma symptoms cough", US_national_yearly!$D:$AM, 20, FALSE) / VLOOKUP("industry|PM25|Asthma symptoms cough", US_national_yearly!$D:$AM, 10, FALSE), 1)</f>
        <v>3.8521597148999345E-2</v>
      </c>
      <c r="M6" s="7">
        <f>$B6 * IFERROR(VLOOKUP("industry|PM25|Asthma symptoms cough", US_national_yearly!$D:$AM, 21, FALSE) / VLOOKUP("industry|PM25|Asthma symptoms cough", US_national_yearly!$D:$AM, 10, FALSE), 1)</f>
        <v>3.8521597148999345E-2</v>
      </c>
      <c r="N6" s="7">
        <f>$B6 * IFERROR(VLOOKUP("industry|PM25|Asthma symptoms cough", US_national_yearly!$D:$AM, 22, FALSE) / VLOOKUP("industry|PM25|Asthma symptoms cough", US_national_yearly!$D:$AM, 10, FALSE), 1)</f>
        <v>3.8521597148999345E-2</v>
      </c>
      <c r="O6" s="7">
        <f>$B6 * IFERROR(VLOOKUP("industry|PM25|Asthma symptoms cough", US_national_yearly!$D:$AM, 23, FALSE) / VLOOKUP("industry|PM25|Asthma symptoms cough", US_national_yearly!$D:$AM, 10, FALSE), 1)</f>
        <v>3.8521597148999345E-2</v>
      </c>
      <c r="P6" s="7">
        <f>$B6 * IFERROR(VLOOKUP("industry|PM25|Asthma symptoms cough", US_national_yearly!$D:$AM, 24, FALSE) / VLOOKUP("industry|PM25|Asthma symptoms cough", US_national_yearly!$D:$AM, 10, FALSE), 1)</f>
        <v>3.8521597148999345E-2</v>
      </c>
      <c r="Q6" s="7">
        <f>$B6 * IFERROR(VLOOKUP("industry|PM25|Asthma symptoms cough", US_national_yearly!$D:$AM, 25, FALSE) / VLOOKUP("industry|PM25|Asthma symptoms cough", US_national_yearly!$D:$AM, 10, FALSE), 1)</f>
        <v>3.8521597148999345E-2</v>
      </c>
      <c r="R6" s="7">
        <f>$B6 * IFERROR(VLOOKUP("industry|PM25|Asthma symptoms cough", US_national_yearly!$D:$AM, 26, FALSE) / VLOOKUP("industry|PM25|Asthma symptoms cough", US_national_yearly!$D:$AM, 10, FALSE), 1)</f>
        <v>3.8521597148999345E-2</v>
      </c>
      <c r="S6" s="7">
        <f>$B6 * IFERROR(VLOOKUP("industry|PM25|Asthma symptoms cough", US_national_yearly!$D:$AM, 27, FALSE) / VLOOKUP("industry|PM25|Asthma symptoms cough", US_national_yearly!$D:$AM, 10, FALSE), 1)</f>
        <v>3.8521597148999345E-2</v>
      </c>
      <c r="T6" s="7">
        <f>$B6 * IFERROR(VLOOKUP("industry|PM25|Asthma symptoms cough", US_national_yearly!$D:$AM, 28, FALSE) / VLOOKUP("industry|PM25|Asthma symptoms cough", US_national_yearly!$D:$AM, 10, FALSE), 1)</f>
        <v>3.8521597148999345E-2</v>
      </c>
      <c r="U6" s="7">
        <f>$B6 * IFERROR(VLOOKUP("industry|PM25|Asthma symptoms cough", US_national_yearly!$D:$AM, 29, FALSE) / VLOOKUP("industry|PM25|Asthma symptoms cough", US_national_yearly!$D:$AM, 10, FALSE), 1)</f>
        <v>3.8521597148999345E-2</v>
      </c>
      <c r="V6" s="7">
        <f>$B6 * IFERROR(VLOOKUP("industry|PM25|Asthma symptoms cough", US_national_yearly!$D:$AM, 30, FALSE) / VLOOKUP("industry|PM25|Asthma symptoms cough", US_national_yearly!$D:$AM, 10, FALSE), 1)</f>
        <v>3.8521597148999345E-2</v>
      </c>
      <c r="W6" s="7">
        <f>$B6 * IFERROR(VLOOKUP("industry|PM25|Asthma symptoms cough", US_national_yearly!$D:$AM, 31, FALSE) / VLOOKUP("industry|PM25|Asthma symptoms cough", US_national_yearly!$D:$AM, 10, FALSE), 1)</f>
        <v>3.8521597148999345E-2</v>
      </c>
      <c r="X6" s="7">
        <f>$B6 * IFERROR(VLOOKUP("industry|PM25|Asthma symptoms cough", US_national_yearly!$D:$AM, 32, FALSE) / VLOOKUP("industry|PM25|Asthma symptoms cough", US_national_yearly!$D:$AM, 10, FALSE), 1)</f>
        <v>3.8521597148999345E-2</v>
      </c>
      <c r="Y6" s="7">
        <f>$B6 * IFERROR(VLOOKUP("industry|PM25|Asthma symptoms cough", US_national_yearly!$D:$AM, 33, FALSE) / VLOOKUP("industry|PM25|Asthma symptoms cough", US_national_yearly!$D:$AM, 10, FALSE), 1)</f>
        <v>3.8521597148999345E-2</v>
      </c>
      <c r="Z6" s="7">
        <f>$B6 * IFERROR(VLOOKUP("industry|PM25|Asthma symptoms cough", US_national_yearly!$D:$AM, 34, FALSE) / VLOOKUP("industry|PM25|Asthma symptoms cough", US_national_yearly!$D:$AM, 10, FALSE), 1)</f>
        <v>3.8521597148999345E-2</v>
      </c>
      <c r="AA6" s="7">
        <f>$B6 * IFERROR(VLOOKUP("industry|PM25|Asthma symptoms cough", US_national_yearly!$D:$AM, 35, FALSE) / VLOOKUP("industry|PM25|Asthma symptoms cough", US_national_yearly!$D:$AM, 10, FALSE), 1)</f>
        <v>3.8521597148999345E-2</v>
      </c>
      <c r="AB6" s="7">
        <f>$B6 * IFERROR(VLOOKUP("industry|PM25|Asthma symptoms cough", US_national_yearly!$D:$AM, 36, FALSE) / VLOOKUP("industry|PM25|Asthma symptoms cough", US_national_yearly!$D:$AM, 10, FALSE), 1)</f>
        <v>3.8521597148999345E-2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5.1870182475064662E-2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5.1870182475064662E-2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5.1870182475064662E-2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5.1870182475064662E-2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5.1870182475064662E-2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5.1870182475064662E-2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5.1870182475064662E-2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5.1870182475064662E-2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5.1870182475064662E-2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5.1870182475064662E-2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5.1870182475064662E-2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5.1870182475064662E-2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5.1870182475064662E-2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5.1870182475064662E-2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5.1870182475064662E-2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5.1870182475064662E-2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5.1870182475064662E-2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5.1870182475064662E-2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5.1870182475064662E-2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5.1870182475064662E-2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5.1870182475064662E-2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5.1870182475064662E-2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5.1870182475064662E-2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5.1870182475064662E-2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5.1870182475064662E-2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5.1870182475064662E-2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5.1870182475064662E-2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7.9265726164105599E-2</v>
      </c>
      <c r="C8" s="7">
        <f>$B8 * IFERROR(VLOOKUP("industry|PM25|Asthma symptoms wheeze", US_national_yearly!$D:$AM, 11, FALSE) / VLOOKUP("industry|PM25|Asthma symptoms wheeze", US_national_yearly!$D:$AM, 10, FALSE), 1)</f>
        <v>7.9265726164105599E-2</v>
      </c>
      <c r="D8" s="7">
        <f>$B8 * IFERROR(VLOOKUP("industry|PM25|Asthma symptoms wheeze", US_national_yearly!$D:$AM, 12, FALSE) / VLOOKUP("industry|PM25|Asthma symptoms wheeze", US_national_yearly!$D:$AM, 10, FALSE), 1)</f>
        <v>7.9265726164105599E-2</v>
      </c>
      <c r="E8" s="7">
        <f>$B8 * IFERROR(VLOOKUP("industry|PM25|Asthma symptoms wheeze", US_national_yearly!$D:$AM, 13, FALSE) / VLOOKUP("industry|PM25|Asthma symptoms wheeze", US_national_yearly!$D:$AM, 10, FALSE), 1)</f>
        <v>7.9265726164105599E-2</v>
      </c>
      <c r="F8" s="7">
        <f>$B8 * IFERROR(VLOOKUP("industry|PM25|Asthma symptoms wheeze", US_national_yearly!$D:$AM, 14, FALSE) / VLOOKUP("industry|PM25|Asthma symptoms wheeze", US_national_yearly!$D:$AM, 10, FALSE), 1)</f>
        <v>7.9265726164105599E-2</v>
      </c>
      <c r="G8" s="7">
        <f>$B8 * IFERROR(VLOOKUP("industry|PM25|Asthma symptoms wheeze", US_national_yearly!$D:$AM, 15, FALSE) / VLOOKUP("industry|PM25|Asthma symptoms wheeze", US_national_yearly!$D:$AM, 10, FALSE), 1)</f>
        <v>7.9265726164105599E-2</v>
      </c>
      <c r="H8" s="7">
        <f>$B8 * IFERROR(VLOOKUP("industry|PM25|Asthma symptoms wheeze", US_national_yearly!$D:$AM, 16, FALSE) / VLOOKUP("industry|PM25|Asthma symptoms wheeze", US_national_yearly!$D:$AM, 10, FALSE), 1)</f>
        <v>7.9265726164105599E-2</v>
      </c>
      <c r="I8" s="7">
        <f>$B8 * IFERROR(VLOOKUP("industry|PM25|Asthma symptoms wheeze", US_national_yearly!$D:$AM, 17, FALSE) / VLOOKUP("industry|PM25|Asthma symptoms wheeze", US_national_yearly!$D:$AM, 10, FALSE), 1)</f>
        <v>7.9265726164105599E-2</v>
      </c>
      <c r="J8" s="7">
        <f>$B8 * IFERROR(VLOOKUP("industry|PM25|Asthma symptoms wheeze", US_national_yearly!$D:$AM, 18, FALSE) / VLOOKUP("industry|PM25|Asthma symptoms wheeze", US_national_yearly!$D:$AM, 10, FALSE), 1)</f>
        <v>7.9265726164105599E-2</v>
      </c>
      <c r="K8" s="7">
        <f>$B8 * IFERROR(VLOOKUP("industry|PM25|Asthma symptoms wheeze", US_national_yearly!$D:$AM, 19, FALSE) / VLOOKUP("industry|PM25|Asthma symptoms wheeze", US_national_yearly!$D:$AM, 10, FALSE), 1)</f>
        <v>7.9265726164105599E-2</v>
      </c>
      <c r="L8" s="7">
        <f>$B8 * IFERROR(VLOOKUP("industry|PM25|Asthma symptoms wheeze", US_national_yearly!$D:$AM, 20, FALSE) / VLOOKUP("industry|PM25|Asthma symptoms wheeze", US_national_yearly!$D:$AM, 10, FALSE), 1)</f>
        <v>7.9265726164105599E-2</v>
      </c>
      <c r="M8" s="7">
        <f>$B8 * IFERROR(VLOOKUP("industry|PM25|Asthma symptoms wheeze", US_national_yearly!$D:$AM, 21, FALSE) / VLOOKUP("industry|PM25|Asthma symptoms wheeze", US_national_yearly!$D:$AM, 10, FALSE), 1)</f>
        <v>7.9265726164105599E-2</v>
      </c>
      <c r="N8" s="7">
        <f>$B8 * IFERROR(VLOOKUP("industry|PM25|Asthma symptoms wheeze", US_national_yearly!$D:$AM, 22, FALSE) / VLOOKUP("industry|PM25|Asthma symptoms wheeze", US_national_yearly!$D:$AM, 10, FALSE), 1)</f>
        <v>7.9265726164105599E-2</v>
      </c>
      <c r="O8" s="7">
        <f>$B8 * IFERROR(VLOOKUP("industry|PM25|Asthma symptoms wheeze", US_national_yearly!$D:$AM, 23, FALSE) / VLOOKUP("industry|PM25|Asthma symptoms wheeze", US_national_yearly!$D:$AM, 10, FALSE), 1)</f>
        <v>7.9265726164105599E-2</v>
      </c>
      <c r="P8" s="7">
        <f>$B8 * IFERROR(VLOOKUP("industry|PM25|Asthma symptoms wheeze", US_national_yearly!$D:$AM, 24, FALSE) / VLOOKUP("industry|PM25|Asthma symptoms wheeze", US_national_yearly!$D:$AM, 10, FALSE), 1)</f>
        <v>7.9265726164105599E-2</v>
      </c>
      <c r="Q8" s="7">
        <f>$B8 * IFERROR(VLOOKUP("industry|PM25|Asthma symptoms wheeze", US_national_yearly!$D:$AM, 25, FALSE) / VLOOKUP("industry|PM25|Asthma symptoms wheeze", US_national_yearly!$D:$AM, 10, FALSE), 1)</f>
        <v>7.9265726164105599E-2</v>
      </c>
      <c r="R8" s="7">
        <f>$B8 * IFERROR(VLOOKUP("industry|PM25|Asthma symptoms wheeze", US_national_yearly!$D:$AM, 26, FALSE) / VLOOKUP("industry|PM25|Asthma symptoms wheeze", US_national_yearly!$D:$AM, 10, FALSE), 1)</f>
        <v>7.9265726164105599E-2</v>
      </c>
      <c r="S8" s="7">
        <f>$B8 * IFERROR(VLOOKUP("industry|PM25|Asthma symptoms wheeze", US_national_yearly!$D:$AM, 27, FALSE) / VLOOKUP("industry|PM25|Asthma symptoms wheeze", US_national_yearly!$D:$AM, 10, FALSE), 1)</f>
        <v>7.9265726164105599E-2</v>
      </c>
      <c r="T8" s="7">
        <f>$B8 * IFERROR(VLOOKUP("industry|PM25|Asthma symptoms wheeze", US_national_yearly!$D:$AM, 28, FALSE) / VLOOKUP("industry|PM25|Asthma symptoms wheeze", US_national_yearly!$D:$AM, 10, FALSE), 1)</f>
        <v>7.9265726164105599E-2</v>
      </c>
      <c r="U8" s="7">
        <f>$B8 * IFERROR(VLOOKUP("industry|PM25|Asthma symptoms wheeze", US_national_yearly!$D:$AM, 29, FALSE) / VLOOKUP("industry|PM25|Asthma symptoms wheeze", US_national_yearly!$D:$AM, 10, FALSE), 1)</f>
        <v>7.9265726164105599E-2</v>
      </c>
      <c r="V8" s="7">
        <f>$B8 * IFERROR(VLOOKUP("industry|PM25|Asthma symptoms wheeze", US_national_yearly!$D:$AM, 30, FALSE) / VLOOKUP("industry|PM25|Asthma symptoms wheeze", US_national_yearly!$D:$AM, 10, FALSE), 1)</f>
        <v>7.9265726164105599E-2</v>
      </c>
      <c r="W8" s="7">
        <f>$B8 * IFERROR(VLOOKUP("industry|PM25|Asthma symptoms wheeze", US_national_yearly!$D:$AM, 31, FALSE) / VLOOKUP("industry|PM25|Asthma symptoms wheeze", US_national_yearly!$D:$AM, 10, FALSE), 1)</f>
        <v>7.9265726164105599E-2</v>
      </c>
      <c r="X8" s="7">
        <f>$B8 * IFERROR(VLOOKUP("industry|PM25|Asthma symptoms wheeze", US_national_yearly!$D:$AM, 32, FALSE) / VLOOKUP("industry|PM25|Asthma symptoms wheeze", US_national_yearly!$D:$AM, 10, FALSE), 1)</f>
        <v>7.9265726164105599E-2</v>
      </c>
      <c r="Y8" s="7">
        <f>$B8 * IFERROR(VLOOKUP("industry|PM25|Asthma symptoms wheeze", US_national_yearly!$D:$AM, 33, FALSE) / VLOOKUP("industry|PM25|Asthma symptoms wheeze", US_national_yearly!$D:$AM, 10, FALSE), 1)</f>
        <v>7.9265726164105599E-2</v>
      </c>
      <c r="Z8" s="7">
        <f>$B8 * IFERROR(VLOOKUP("industry|PM25|Asthma symptoms wheeze", US_national_yearly!$D:$AM, 34, FALSE) / VLOOKUP("industry|PM25|Asthma symptoms wheeze", US_national_yearly!$D:$AM, 10, FALSE), 1)</f>
        <v>7.9265726164105599E-2</v>
      </c>
      <c r="AA8" s="7">
        <f>$B8 * IFERROR(VLOOKUP("industry|PM25|Asthma symptoms wheeze", US_national_yearly!$D:$AM, 35, FALSE) / VLOOKUP("industry|PM25|Asthma symptoms wheeze", US_national_yearly!$D:$AM, 10, FALSE), 1)</f>
        <v>7.9265726164105599E-2</v>
      </c>
      <c r="AB8" s="7">
        <f>$B8 * IFERROR(VLOOKUP("industry|PM25|Asthma symptoms wheeze", US_national_yearly!$D:$AM, 36, FALSE) / VLOOKUP("industry|PM25|Asthma symptoms wheeze", US_national_yearly!$D:$AM, 10, FALSE), 1)</f>
        <v>7.9265726164105599E-2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1.1508469881584956E-3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1.1573809951950487E-3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1.1639150022316018E-3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1.1704490092681549E-3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1.1769830163047082E-3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1.1840475103671564E-3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1.1911120044296052E-3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1.1978135658067565E-3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1.2045151271839077E-3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1.2112166885610589E-3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1.2179182499382102E-3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1.2246198113153616E-3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1.2293596379507343E-3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1.2340994645861066E-3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1.238839291221479E-3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1.2435791178568513E-3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1.248318944492224E-3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1.2527894389985147E-3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1.2572599335048055E-3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1.2617304280110964E-3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1.2662009225173872E-3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1.2706714170236781E-3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1.2749758532848334E-3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1.2792802895459888E-3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1.2835847258071444E-3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1.2878891620682999E-3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1.2921935983294553E-3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7.2951883655959287E-3</v>
      </c>
      <c r="C13" s="7">
        <f>$B13 * IFERROR(VLOOKUP("industry|PM25|Non-fatal heart attacks", US_national_yearly!$D:$AM, 11, FALSE) / VLOOKUP("industry|PM25|Non-fatal heart attacks", US_national_yearly!$D:$AM, 10, FALSE), 1)</f>
        <v>7.5075532117599465E-3</v>
      </c>
      <c r="D13" s="7">
        <f>$B13 * IFERROR(VLOOKUP("industry|PM25|Non-fatal heart attacks", US_national_yearly!$D:$AM, 12, FALSE) / VLOOKUP("industry|PM25|Non-fatal heart attacks", US_national_yearly!$D:$AM, 10, FALSE), 1)</f>
        <v>7.7199180579239635E-3</v>
      </c>
      <c r="E13" s="7">
        <f>$B13 * IFERROR(VLOOKUP("industry|PM25|Non-fatal heart attacks", US_national_yearly!$D:$AM, 13, FALSE) / VLOOKUP("industry|PM25|Non-fatal heart attacks", US_national_yearly!$D:$AM, 10, FALSE), 1)</f>
        <v>7.9322829040879821E-3</v>
      </c>
      <c r="F13" s="7">
        <f>$B13 * IFERROR(VLOOKUP("industry|PM25|Non-fatal heart attacks", US_national_yearly!$D:$AM, 14, FALSE) / VLOOKUP("industry|PM25|Non-fatal heart attacks", US_national_yearly!$D:$AM, 10, FALSE), 1)</f>
        <v>8.1446477502519991E-3</v>
      </c>
      <c r="G13" s="7">
        <f>$B13 * IFERROR(VLOOKUP("industry|PM25|Non-fatal heart attacks", US_national_yearly!$D:$AM, 15, FALSE) / VLOOKUP("industry|PM25|Non-fatal heart attacks", US_national_yearly!$D:$AM, 10, FALSE), 1)</f>
        <v>8.3451350970887433E-3</v>
      </c>
      <c r="H13" s="7">
        <f>$B13 * IFERROR(VLOOKUP("industry|PM25|Non-fatal heart attacks", US_national_yearly!$D:$AM, 16, FALSE) / VLOOKUP("industry|PM25|Non-fatal heart attacks", US_national_yearly!$D:$AM, 10, FALSE), 1)</f>
        <v>8.5456224439254876E-3</v>
      </c>
      <c r="I13" s="7">
        <f>$B13 * IFERROR(VLOOKUP("industry|PM25|Non-fatal heart attacks", US_national_yearly!$D:$AM, 17, FALSE) / VLOOKUP("industry|PM25|Non-fatal heart attacks", US_national_yearly!$D:$AM, 10, FALSE), 1)</f>
        <v>8.7075178280433905E-3</v>
      </c>
      <c r="J13" s="7">
        <f>$B13 * IFERROR(VLOOKUP("industry|PM25|Non-fatal heart attacks", US_national_yearly!$D:$AM, 18, FALSE) / VLOOKUP("industry|PM25|Non-fatal heart attacks", US_national_yearly!$D:$AM, 10, FALSE), 1)</f>
        <v>8.8694132121612933E-3</v>
      </c>
      <c r="K13" s="7">
        <f>$B13 * IFERROR(VLOOKUP("industry|PM25|Non-fatal heart attacks", US_national_yearly!$D:$AM, 19, FALSE) / VLOOKUP("industry|PM25|Non-fatal heart attacks", US_national_yearly!$D:$AM, 10, FALSE), 1)</f>
        <v>9.0313085962791945E-3</v>
      </c>
      <c r="L13" s="7">
        <f>$B13 * IFERROR(VLOOKUP("industry|PM25|Non-fatal heart attacks", US_national_yearly!$D:$AM, 20, FALSE) / VLOOKUP("industry|PM25|Non-fatal heart attacks", US_national_yearly!$D:$AM, 10, FALSE), 1)</f>
        <v>9.1932039803970973E-3</v>
      </c>
      <c r="M13" s="7">
        <f>$B13 * IFERROR(VLOOKUP("industry|PM25|Non-fatal heart attacks", US_national_yearly!$D:$AM, 21, FALSE) / VLOOKUP("industry|PM25|Non-fatal heart attacks", US_national_yearly!$D:$AM, 10, FALSE), 1)</f>
        <v>9.3550993645149984E-3</v>
      </c>
      <c r="N13" s="7">
        <f>$B13 * IFERROR(VLOOKUP("industry|PM25|Non-fatal heart attacks", US_national_yearly!$D:$AM, 22, FALSE) / VLOOKUP("industry|PM25|Non-fatal heart attacks", US_national_yearly!$D:$AM, 10, FALSE), 1)</f>
        <v>9.4597737464510862E-3</v>
      </c>
      <c r="O13" s="7">
        <f>$B13 * IFERROR(VLOOKUP("industry|PM25|Non-fatal heart attacks", US_national_yearly!$D:$AM, 23, FALSE) / VLOOKUP("industry|PM25|Non-fatal heart attacks", US_national_yearly!$D:$AM, 10, FALSE), 1)</f>
        <v>9.5644481283871721E-3</v>
      </c>
      <c r="P13" s="7">
        <f>$B13 * IFERROR(VLOOKUP("industry|PM25|Non-fatal heart attacks", US_national_yearly!$D:$AM, 24, FALSE) / VLOOKUP("industry|PM25|Non-fatal heart attacks", US_national_yearly!$D:$AM, 10, FALSE), 1)</f>
        <v>9.6691225103232598E-3</v>
      </c>
      <c r="Q13" s="7">
        <f>$B13 * IFERROR(VLOOKUP("industry|PM25|Non-fatal heart attacks", US_national_yearly!$D:$AM, 25, FALSE) / VLOOKUP("industry|PM25|Non-fatal heart attacks", US_national_yearly!$D:$AM, 10, FALSE), 1)</f>
        <v>9.7737968922593441E-3</v>
      </c>
      <c r="R13" s="7">
        <f>$B13 * IFERROR(VLOOKUP("industry|PM25|Non-fatal heart attacks", US_national_yearly!$D:$AM, 26, FALSE) / VLOOKUP("industry|PM25|Non-fatal heart attacks", US_national_yearly!$D:$AM, 10, FALSE), 1)</f>
        <v>9.8784712741954318E-3</v>
      </c>
      <c r="S13" s="7">
        <f>$B13 * IFERROR(VLOOKUP("industry|PM25|Non-fatal heart attacks", US_national_yearly!$D:$AM, 27, FALSE) / VLOOKUP("industry|PM25|Non-fatal heart attacks", US_national_yearly!$D:$AM, 10, FALSE), 1)</f>
        <v>9.9343782582666899E-3</v>
      </c>
      <c r="T13" s="7">
        <f>$B13 * IFERROR(VLOOKUP("industry|PM25|Non-fatal heart attacks", US_national_yearly!$D:$AM, 28, FALSE) / VLOOKUP("industry|PM25|Non-fatal heart attacks", US_national_yearly!$D:$AM, 10, FALSE), 1)</f>
        <v>9.9902852423379516E-3</v>
      </c>
      <c r="U13" s="7">
        <f>$B13 * IFERROR(VLOOKUP("industry|PM25|Non-fatal heart attacks", US_national_yearly!$D:$AM, 29, FALSE) / VLOOKUP("industry|PM25|Non-fatal heart attacks", US_national_yearly!$D:$AM, 10, FALSE), 1)</f>
        <v>1.0046192226409213E-2</v>
      </c>
      <c r="V13" s="7">
        <f>$B13 * IFERROR(VLOOKUP("industry|PM25|Non-fatal heart attacks", US_national_yearly!$D:$AM, 30, FALSE) / VLOOKUP("industry|PM25|Non-fatal heart attacks", US_national_yearly!$D:$AM, 10, FALSE), 1)</f>
        <v>1.0102099210480471E-2</v>
      </c>
      <c r="W13" s="7">
        <f>$B13 * IFERROR(VLOOKUP("industry|PM25|Non-fatal heart attacks", US_national_yearly!$D:$AM, 31, FALSE) / VLOOKUP("industry|PM25|Non-fatal heart attacks", US_national_yearly!$D:$AM, 10, FALSE), 1)</f>
        <v>1.0158006194551733E-2</v>
      </c>
      <c r="X13" s="7">
        <f>$B13 * IFERROR(VLOOKUP("industry|PM25|Non-fatal heart attacks", US_national_yearly!$D:$AM, 32, FALSE) / VLOOKUP("industry|PM25|Non-fatal heart attacks", US_national_yearly!$D:$AM, 10, FALSE), 1)</f>
        <v>1.020115484407961E-2</v>
      </c>
      <c r="Y13" s="7">
        <f>$B13 * IFERROR(VLOOKUP("industry|PM25|Non-fatal heart attacks", US_national_yearly!$D:$AM, 33, FALSE) / VLOOKUP("industry|PM25|Non-fatal heart attacks", US_national_yearly!$D:$AM, 10, FALSE), 1)</f>
        <v>1.0244303493607486E-2</v>
      </c>
      <c r="Z13" s="7">
        <f>$B13 * IFERROR(VLOOKUP("industry|PM25|Non-fatal heart attacks", US_national_yearly!$D:$AM, 34, FALSE) / VLOOKUP("industry|PM25|Non-fatal heart attacks", US_national_yearly!$D:$AM, 10, FALSE), 1)</f>
        <v>1.0287452143135364E-2</v>
      </c>
      <c r="AA13" s="7">
        <f>$B13 * IFERROR(VLOOKUP("industry|PM25|Non-fatal heart attacks", US_national_yearly!$D:$AM, 35, FALSE) / VLOOKUP("industry|PM25|Non-fatal heart attacks", US_national_yearly!$D:$AM, 10, FALSE), 1)</f>
        <v>1.0330600792663241E-2</v>
      </c>
      <c r="AB13" s="7">
        <f>$B13 * IFERROR(VLOOKUP("industry|PM25|Non-fatal heart attacks", US_national_yearly!$D:$AM, 36, FALSE) / VLOOKUP("industry|PM25|Non-fatal heart attacks", US_national_yearly!$D:$AM, 10, FALSE), 1)</f>
        <v>1.0373749442191119E-2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4.8003174032784699</v>
      </c>
      <c r="C14" s="7">
        <f>$B14 * IFERROR(VLOOKUP("industry|PM25|Minor restricted activity days", US_national_yearly!$D:$AM, 11, FALSE) / VLOOKUP("industry|PM25|Minor restricted activity days", US_national_yearly!$D:$AM, 10, FALSE), 1)</f>
        <v>4.8120741762794674</v>
      </c>
      <c r="D14" s="7">
        <f>$B14 * IFERROR(VLOOKUP("industry|PM25|Minor restricted activity days", US_national_yearly!$D:$AM, 12, FALSE) / VLOOKUP("industry|PM25|Minor restricted activity days", US_national_yearly!$D:$AM, 10, FALSE), 1)</f>
        <v>4.8238309492804667</v>
      </c>
      <c r="E14" s="7">
        <f>$B14 * IFERROR(VLOOKUP("industry|PM25|Minor restricted activity days", US_national_yearly!$D:$AM, 13, FALSE) / VLOOKUP("industry|PM25|Minor restricted activity days", US_national_yearly!$D:$AM, 10, FALSE), 1)</f>
        <v>4.8355877222814643</v>
      </c>
      <c r="F14" s="7">
        <f>$B14 * IFERROR(VLOOKUP("industry|PM25|Minor restricted activity days", US_national_yearly!$D:$AM, 14, FALSE) / VLOOKUP("industry|PM25|Minor restricted activity days", US_national_yearly!$D:$AM, 10, FALSE), 1)</f>
        <v>4.8473444952824627</v>
      </c>
      <c r="G14" s="7">
        <f>$B14 * IFERROR(VLOOKUP("industry|PM25|Minor restricted activity days", US_national_yearly!$D:$AM, 15, FALSE) / VLOOKUP("industry|PM25|Minor restricted activity days", US_national_yearly!$D:$AM, 10, FALSE), 1)</f>
        <v>4.8646015272352621</v>
      </c>
      <c r="H14" s="7">
        <f>$B14 * IFERROR(VLOOKUP("industry|PM25|Minor restricted activity days", US_national_yearly!$D:$AM, 16, FALSE) / VLOOKUP("industry|PM25|Minor restricted activity days", US_national_yearly!$D:$AM, 10, FALSE), 1)</f>
        <v>4.8818585591880597</v>
      </c>
      <c r="I14" s="7">
        <f>$B14 * IFERROR(VLOOKUP("industry|PM25|Minor restricted activity days", US_national_yearly!$D:$AM, 17, FALSE) / VLOOKUP("industry|PM25|Minor restricted activity days", US_national_yearly!$D:$AM, 10, FALSE), 1)</f>
        <v>4.9111738192198988</v>
      </c>
      <c r="J14" s="7">
        <f>$B14 * IFERROR(VLOOKUP("industry|PM25|Minor restricted activity days", US_national_yearly!$D:$AM, 18, FALSE) / VLOOKUP("industry|PM25|Minor restricted activity days", US_national_yearly!$D:$AM, 10, FALSE), 1)</f>
        <v>4.940489079251738</v>
      </c>
      <c r="K14" s="7">
        <f>$B14 * IFERROR(VLOOKUP("industry|PM25|Minor restricted activity days", US_national_yearly!$D:$AM, 19, FALSE) / VLOOKUP("industry|PM25|Minor restricted activity days", US_national_yearly!$D:$AM, 10, FALSE), 1)</f>
        <v>4.9698043392835753</v>
      </c>
      <c r="L14" s="7">
        <f>$B14 * IFERROR(VLOOKUP("industry|PM25|Minor restricted activity days", US_national_yearly!$D:$AM, 20, FALSE) / VLOOKUP("industry|PM25|Minor restricted activity days", US_national_yearly!$D:$AM, 10, FALSE), 1)</f>
        <v>4.9991195993154145</v>
      </c>
      <c r="M14" s="7">
        <f>$B14 * IFERROR(VLOOKUP("industry|PM25|Minor restricted activity days", US_national_yearly!$D:$AM, 21, FALSE) / VLOOKUP("industry|PM25|Minor restricted activity days", US_national_yearly!$D:$AM, 10, FALSE), 1)</f>
        <v>5.0284348593472528</v>
      </c>
      <c r="N14" s="7">
        <f>$B14 * IFERROR(VLOOKUP("industry|PM25|Minor restricted activity days", US_national_yearly!$D:$AM, 22, FALSE) / VLOOKUP("industry|PM25|Minor restricted activity days", US_national_yearly!$D:$AM, 10, FALSE), 1)</f>
        <v>5.068482399166788</v>
      </c>
      <c r="O14" s="7">
        <f>$B14 * IFERROR(VLOOKUP("industry|PM25|Minor restricted activity days", US_national_yearly!$D:$AM, 23, FALSE) / VLOOKUP("industry|PM25|Minor restricted activity days", US_national_yearly!$D:$AM, 10, FALSE), 1)</f>
        <v>5.1085299389863277</v>
      </c>
      <c r="P14" s="7">
        <f>$B14 * IFERROR(VLOOKUP("industry|PM25|Minor restricted activity days", US_national_yearly!$D:$AM, 24, FALSE) / VLOOKUP("industry|PM25|Minor restricted activity days", US_national_yearly!$D:$AM, 10, FALSE), 1)</f>
        <v>5.1485774788058629</v>
      </c>
      <c r="Q14" s="7">
        <f>$B14 * IFERROR(VLOOKUP("industry|PM25|Minor restricted activity days", US_national_yearly!$D:$AM, 25, FALSE) / VLOOKUP("industry|PM25|Minor restricted activity days", US_national_yearly!$D:$AM, 10, FALSE), 1)</f>
        <v>5.1886250186254035</v>
      </c>
      <c r="R14" s="7">
        <f>$B14 * IFERROR(VLOOKUP("industry|PM25|Minor restricted activity days", US_national_yearly!$D:$AM, 26, FALSE) / VLOOKUP("industry|PM25|Minor restricted activity days", US_national_yearly!$D:$AM, 10, FALSE), 1)</f>
        <v>5.2286725584449387</v>
      </c>
      <c r="S14" s="7">
        <f>$B14 * IFERROR(VLOOKUP("industry|PM25|Minor restricted activity days", US_national_yearly!$D:$AM, 27, FALSE) / VLOOKUP("industry|PM25|Minor restricted activity days", US_national_yearly!$D:$AM, 10, FALSE), 1)</f>
        <v>5.2691045703092154</v>
      </c>
      <c r="T14" s="7">
        <f>$B14 * IFERROR(VLOOKUP("industry|PM25|Minor restricted activity days", US_national_yearly!$D:$AM, 28, FALSE) / VLOOKUP("industry|PM25|Minor restricted activity days", US_national_yearly!$D:$AM, 10, FALSE), 1)</f>
        <v>5.309536582173493</v>
      </c>
      <c r="U14" s="7">
        <f>$B14 * IFERROR(VLOOKUP("industry|PM25|Minor restricted activity days", US_national_yearly!$D:$AM, 29, FALSE) / VLOOKUP("industry|PM25|Minor restricted activity days", US_national_yearly!$D:$AM, 10, FALSE), 1)</f>
        <v>5.3499685940377697</v>
      </c>
      <c r="V14" s="7">
        <f>$B14 * IFERROR(VLOOKUP("industry|PM25|Minor restricted activity days", US_national_yearly!$D:$AM, 30, FALSE) / VLOOKUP("industry|PM25|Minor restricted activity days", US_national_yearly!$D:$AM, 10, FALSE), 1)</f>
        <v>5.3904006059020464</v>
      </c>
      <c r="W14" s="7">
        <f>$B14 * IFERROR(VLOOKUP("industry|PM25|Minor restricted activity days", US_national_yearly!$D:$AM, 31, FALSE) / VLOOKUP("industry|PM25|Minor restricted activity days", US_national_yearly!$D:$AM, 10, FALSE), 1)</f>
        <v>5.430832617766324</v>
      </c>
      <c r="X14" s="7">
        <f>$B14 * IFERROR(VLOOKUP("industry|PM25|Minor restricted activity days", US_national_yearly!$D:$AM, 32, FALSE) / VLOOKUP("industry|PM25|Minor restricted activity days", US_national_yearly!$D:$AM, 10, FALSE), 1)</f>
        <v>5.4659665553356493</v>
      </c>
      <c r="Y14" s="7">
        <f>$B14 * IFERROR(VLOOKUP("industry|PM25|Minor restricted activity days", US_national_yearly!$D:$AM, 33, FALSE) / VLOOKUP("industry|PM25|Minor restricted activity days", US_national_yearly!$D:$AM, 10, FALSE), 1)</f>
        <v>5.5011004929049765</v>
      </c>
      <c r="Z14" s="7">
        <f>$B14 * IFERROR(VLOOKUP("industry|PM25|Minor restricted activity days", US_national_yearly!$D:$AM, 34, FALSE) / VLOOKUP("industry|PM25|Minor restricted activity days", US_national_yearly!$D:$AM, 10, FALSE), 1)</f>
        <v>5.5362344304743036</v>
      </c>
      <c r="AA14" s="7">
        <f>$B14 * IFERROR(VLOOKUP("industry|PM25|Minor restricted activity days", US_national_yearly!$D:$AM, 35, FALSE) / VLOOKUP("industry|PM25|Minor restricted activity days", US_national_yearly!$D:$AM, 10, FALSE), 1)</f>
        <v>5.5713683680436299</v>
      </c>
      <c r="AB14" s="7">
        <f>$B14 * IFERROR(VLOOKUP("industry|PM25|Minor restricted activity days", US_national_yearly!$D:$AM, 36, FALSE) / VLOOKUP("industry|PM25|Minor restricted activity days", US_national_yearly!$D:$AM, 10, FALSE), 1)</f>
        <v>5.606502305612957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0.81087400905809459</v>
      </c>
      <c r="C15" s="7">
        <f>$B15 * IFERROR(VLOOKUP("industry|PM25|Work loss days", US_national_yearly!$D:$AM, 11, FALSE) / VLOOKUP("industry|PM25|Work loss days", US_national_yearly!$D:$AM, 10, FALSE), 1)</f>
        <v>0.81338804405169662</v>
      </c>
      <c r="D15" s="7">
        <f>$B15 * IFERROR(VLOOKUP("industry|PM25|Work loss days", US_national_yearly!$D:$AM, 12, FALSE) / VLOOKUP("industry|PM25|Work loss days", US_national_yearly!$D:$AM, 10, FALSE), 1)</f>
        <v>0.81590207904529866</v>
      </c>
      <c r="E15" s="7">
        <f>$B15 * IFERROR(VLOOKUP("industry|PM25|Work loss days", US_national_yearly!$D:$AM, 13, FALSE) / VLOOKUP("industry|PM25|Work loss days", US_national_yearly!$D:$AM, 10, FALSE), 1)</f>
        <v>0.81841611403890058</v>
      </c>
      <c r="F15" s="7">
        <f>$B15 * IFERROR(VLOOKUP("industry|PM25|Work loss days", US_national_yearly!$D:$AM, 14, FALSE) / VLOOKUP("industry|PM25|Work loss days", US_national_yearly!$D:$AM, 10, FALSE), 1)</f>
        <v>0.82093014903250261</v>
      </c>
      <c r="G15" s="7">
        <f>$B15 * IFERROR(VLOOKUP("industry|PM25|Work loss days", US_national_yearly!$D:$AM, 15, FALSE) / VLOOKUP("industry|PM25|Work loss days", US_national_yearly!$D:$AM, 10, FALSE), 1)</f>
        <v>0.82421233179327458</v>
      </c>
      <c r="H15" s="7">
        <f>$B15 * IFERROR(VLOOKUP("industry|PM25|Work loss days", US_national_yearly!$D:$AM, 16, FALSE) / VLOOKUP("industry|PM25|Work loss days", US_national_yearly!$D:$AM, 10, FALSE), 1)</f>
        <v>0.82749451455404666</v>
      </c>
      <c r="I15" s="7">
        <f>$B15 * IFERROR(VLOOKUP("industry|PM25|Work loss days", US_national_yearly!$D:$AM, 17, FALSE) / VLOOKUP("industry|PM25|Work loss days", US_national_yearly!$D:$AM, 10, FALSE), 1)</f>
        <v>0.83230067471583113</v>
      </c>
      <c r="J15" s="7">
        <f>$B15 * IFERROR(VLOOKUP("industry|PM25|Work loss days", US_national_yearly!$D:$AM, 18, FALSE) / VLOOKUP("industry|PM25|Work loss days", US_national_yearly!$D:$AM, 10, FALSE), 1)</f>
        <v>0.83710683487761561</v>
      </c>
      <c r="K15" s="7">
        <f>$B15 * IFERROR(VLOOKUP("industry|PM25|Work loss days", US_national_yearly!$D:$AM, 19, FALSE) / VLOOKUP("industry|PM25|Work loss days", US_national_yearly!$D:$AM, 10, FALSE), 1)</f>
        <v>0.84191299503939998</v>
      </c>
      <c r="L15" s="7">
        <f>$B15 * IFERROR(VLOOKUP("industry|PM25|Work loss days", US_national_yearly!$D:$AM, 20, FALSE) / VLOOKUP("industry|PM25|Work loss days", US_national_yearly!$D:$AM, 10, FALSE), 1)</f>
        <v>0.84671915520118446</v>
      </c>
      <c r="M15" s="7">
        <f>$B15 * IFERROR(VLOOKUP("industry|PM25|Work loss days", US_national_yearly!$D:$AM, 21, FALSE) / VLOOKUP("industry|PM25|Work loss days", US_national_yearly!$D:$AM, 10, FALSE), 1)</f>
        <v>0.85152531536296894</v>
      </c>
      <c r="N15" s="7">
        <f>$B15 * IFERROR(VLOOKUP("industry|PM25|Work loss days", US_national_yearly!$D:$AM, 22, FALSE) / VLOOKUP("industry|PM25|Work loss days", US_national_yearly!$D:$AM, 10, FALSE), 1)</f>
        <v>0.8575900586407178</v>
      </c>
      <c r="O15" s="7">
        <f>$B15 * IFERROR(VLOOKUP("industry|PM25|Work loss days", US_national_yearly!$D:$AM, 23, FALSE) / VLOOKUP("industry|PM25|Work loss days", US_national_yearly!$D:$AM, 10, FALSE), 1)</f>
        <v>0.86365480191846677</v>
      </c>
      <c r="P15" s="7">
        <f>$B15 * IFERROR(VLOOKUP("industry|PM25|Work loss days", US_national_yearly!$D:$AM, 24, FALSE) / VLOOKUP("industry|PM25|Work loss days", US_national_yearly!$D:$AM, 10, FALSE), 1)</f>
        <v>0.86971954519621542</v>
      </c>
      <c r="Q15" s="7">
        <f>$B15 * IFERROR(VLOOKUP("industry|PM25|Work loss days", US_national_yearly!$D:$AM, 25, FALSE) / VLOOKUP("industry|PM25|Work loss days", US_national_yearly!$D:$AM, 10, FALSE), 1)</f>
        <v>0.87578428847396439</v>
      </c>
      <c r="R15" s="7">
        <f>$B15 * IFERROR(VLOOKUP("industry|PM25|Work loss days", US_national_yearly!$D:$AM, 26, FALSE) / VLOOKUP("industry|PM25|Work loss days", US_national_yearly!$D:$AM, 10, FALSE), 1)</f>
        <v>0.88184903175171303</v>
      </c>
      <c r="S15" s="7">
        <f>$B15 * IFERROR(VLOOKUP("industry|PM25|Work loss days", US_national_yearly!$D:$AM, 27, FALSE) / VLOOKUP("industry|PM25|Work loss days", US_national_yearly!$D:$AM, 10, FALSE), 1)</f>
        <v>0.88857397225732804</v>
      </c>
      <c r="T15" s="7">
        <f>$B15 * IFERROR(VLOOKUP("industry|PM25|Work loss days", US_national_yearly!$D:$AM, 28, FALSE) / VLOOKUP("industry|PM25|Work loss days", US_national_yearly!$D:$AM, 10, FALSE), 1)</f>
        <v>0.89529891276294282</v>
      </c>
      <c r="U15" s="7">
        <f>$B15 * IFERROR(VLOOKUP("industry|PM25|Work loss days", US_national_yearly!$D:$AM, 29, FALSE) / VLOOKUP("industry|PM25|Work loss days", US_national_yearly!$D:$AM, 10, FALSE), 1)</f>
        <v>0.90202385326855761</v>
      </c>
      <c r="V15" s="7">
        <f>$B15 * IFERROR(VLOOKUP("industry|PM25|Work loss days", US_national_yearly!$D:$AM, 30, FALSE) / VLOOKUP("industry|PM25|Work loss days", US_national_yearly!$D:$AM, 10, FALSE), 1)</f>
        <v>0.90874879377417239</v>
      </c>
      <c r="W15" s="7">
        <f>$B15 * IFERROR(VLOOKUP("industry|PM25|Work loss days", US_national_yearly!$D:$AM, 31, FALSE) / VLOOKUP("industry|PM25|Work loss days", US_national_yearly!$D:$AM, 10, FALSE), 1)</f>
        <v>0.9154737342797874</v>
      </c>
      <c r="X15" s="7">
        <f>$B15 * IFERROR(VLOOKUP("industry|PM25|Work loss days", US_national_yearly!$D:$AM, 32, FALSE) / VLOOKUP("industry|PM25|Work loss days", US_national_yearly!$D:$AM, 10, FALSE), 1)</f>
        <v>0.92144972818171289</v>
      </c>
      <c r="Y15" s="7">
        <f>$B15 * IFERROR(VLOOKUP("industry|PM25|Work loss days", US_national_yearly!$D:$AM, 33, FALSE) / VLOOKUP("industry|PM25|Work loss days", US_national_yearly!$D:$AM, 10, FALSE), 1)</f>
        <v>0.9274257220836386</v>
      </c>
      <c r="Z15" s="7">
        <f>$B15 * IFERROR(VLOOKUP("industry|PM25|Work loss days", US_national_yearly!$D:$AM, 34, FALSE) / VLOOKUP("industry|PM25|Work loss days", US_national_yearly!$D:$AM, 10, FALSE), 1)</f>
        <v>0.93340171598556432</v>
      </c>
      <c r="AA15" s="7">
        <f>$B15 * IFERROR(VLOOKUP("industry|PM25|Work loss days", US_national_yearly!$D:$AM, 35, FALSE) / VLOOKUP("industry|PM25|Work loss days", US_national_yearly!$D:$AM, 10, FALSE), 1)</f>
        <v>0.93937770988748981</v>
      </c>
      <c r="AB15" s="7">
        <f>$B15 * IFERROR(VLOOKUP("industry|PM25|Work loss days", US_national_yearly!$D:$AM, 36, FALSE) / VLOOKUP("industry|PM25|Work loss days", US_national_yearly!$D:$AM, 10, FALSE), 1)</f>
        <v>0.94535370378941552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1.9833740607092783E-3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2.042698050446881E-3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2.1020220401844836E-3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2.1613460299220867E-3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2.2206700196596889E-3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2.2775277878262974E-3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2.3343855559929054E-3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2.3832029326593751E-3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2.4320203093258445E-3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2.4808376859923147E-3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2.5296550626587849E-3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2.5784724393252546E-3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2.611082630987182E-3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2.643692822649109E-3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2.676303014311036E-3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2.7089132059729629E-3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2.7415233976348899E-3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2.7589951475125766E-3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2.7764668973902632E-3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2.7939386472679499E-3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2.8114103971456361E-3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2.8288821470233223E-3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2.8408799025452344E-3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2.8528776580671452E-3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2.8648754135890569E-3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2.8768731691109677E-3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2.8888709246328794E-3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4.7425914893644763E-4</v>
      </c>
      <c r="C2" s="7">
        <f>$B2 * IFERROR(VLOOKUP("industry|NOx|Premature mortality", US_national_yearly!$D:$AM, 11, FALSE) / VLOOKUP("industry|NOx|Premature mortality", US_national_yearly!$D:$AM, 10, FALSE), 1)</f>
        <v>4.8127189448895195E-4</v>
      </c>
      <c r="D2" s="7">
        <f>$B2 * IFERROR(VLOOKUP("industry|NOx|Premature mortality", US_national_yearly!$D:$AM, 12, FALSE) / VLOOKUP("industry|NOx|Premature mortality", US_national_yearly!$D:$AM, 10, FALSE), 1)</f>
        <v>4.8828464004145632E-4</v>
      </c>
      <c r="E2" s="7">
        <f>$B2 * IFERROR(VLOOKUP("industry|NOx|Premature mortality", US_national_yearly!$D:$AM, 13, FALSE) / VLOOKUP("industry|NOx|Premature mortality", US_national_yearly!$D:$AM, 10, FALSE), 1)</f>
        <v>4.9529738559396064E-4</v>
      </c>
      <c r="F2" s="7">
        <f>$B2 * IFERROR(VLOOKUP("industry|NOx|Premature mortality", US_national_yearly!$D:$AM, 14, FALSE) / VLOOKUP("industry|NOx|Premature mortality", US_national_yearly!$D:$AM, 10, FALSE), 1)</f>
        <v>5.0231013114646506E-4</v>
      </c>
      <c r="G2" s="7">
        <f>$B2 * IFERROR(VLOOKUP("industry|NOx|Premature mortality", US_national_yearly!$D:$AM, 15, FALSE) / VLOOKUP("industry|NOx|Premature mortality", US_national_yearly!$D:$AM, 10, FALSE), 1)</f>
        <v>5.1488661007252818E-4</v>
      </c>
      <c r="H2" s="7">
        <f>$B2 * IFERROR(VLOOKUP("industry|NOx|Premature mortality", US_national_yearly!$D:$AM, 16, FALSE) / VLOOKUP("industry|NOx|Premature mortality", US_national_yearly!$D:$AM, 10, FALSE), 1)</f>
        <v>5.2746308899859131E-4</v>
      </c>
      <c r="I2" s="7">
        <f>$B2 * IFERROR(VLOOKUP("industry|NOx|Premature mortality", US_national_yearly!$D:$AM, 17, FALSE) / VLOOKUP("industry|NOx|Premature mortality", US_national_yearly!$D:$AM, 10, FALSE), 1)</f>
        <v>5.3562187405730051E-4</v>
      </c>
      <c r="J2" s="7">
        <f>$B2 * IFERROR(VLOOKUP("industry|NOx|Premature mortality", US_national_yearly!$D:$AM, 18, FALSE) / VLOOKUP("industry|NOx|Premature mortality", US_national_yearly!$D:$AM, 10, FALSE), 1)</f>
        <v>5.4378065911600971E-4</v>
      </c>
      <c r="K2" s="7">
        <f>$B2 * IFERROR(VLOOKUP("industry|NOx|Premature mortality", US_national_yearly!$D:$AM, 19, FALSE) / VLOOKUP("industry|NOx|Premature mortality", US_national_yearly!$D:$AM, 10, FALSE), 1)</f>
        <v>5.5193944417471902E-4</v>
      </c>
      <c r="L2" s="7">
        <f>$B2 * IFERROR(VLOOKUP("industry|NOx|Premature mortality", US_national_yearly!$D:$AM, 20, FALSE) / VLOOKUP("industry|NOx|Premature mortality", US_national_yearly!$D:$AM, 10, FALSE), 1)</f>
        <v>5.6009822923342822E-4</v>
      </c>
      <c r="M2" s="7">
        <f>$B2 * IFERROR(VLOOKUP("industry|NOx|Premature mortality", US_national_yearly!$D:$AM, 21, FALSE) / VLOOKUP("industry|NOx|Premature mortality", US_national_yearly!$D:$AM, 10, FALSE), 1)</f>
        <v>5.6825701429213742E-4</v>
      </c>
      <c r="N2" s="7">
        <f>$B2 * IFERROR(VLOOKUP("industry|NOx|Premature mortality", US_national_yearly!$D:$AM, 22, FALSE) / VLOOKUP("industry|NOx|Premature mortality", US_national_yearly!$D:$AM, 10, FALSE), 1)</f>
        <v>5.7432821501932616E-4</v>
      </c>
      <c r="O2" s="7">
        <f>$B2 * IFERROR(VLOOKUP("industry|NOx|Premature mortality", US_national_yearly!$D:$AM, 23, FALSE) / VLOOKUP("industry|NOx|Premature mortality", US_national_yearly!$D:$AM, 10, FALSE), 1)</f>
        <v>5.8039941574651469E-4</v>
      </c>
      <c r="P2" s="7">
        <f>$B2 * IFERROR(VLOOKUP("industry|NOx|Premature mortality", US_national_yearly!$D:$AM, 24, FALSE) / VLOOKUP("industry|NOx|Premature mortality", US_national_yearly!$D:$AM, 10, FALSE), 1)</f>
        <v>5.8647061647370321E-4</v>
      </c>
      <c r="Q2" s="7">
        <f>$B2 * IFERROR(VLOOKUP("industry|NOx|Premature mortality", US_national_yearly!$D:$AM, 25, FALSE) / VLOOKUP("industry|NOx|Premature mortality", US_national_yearly!$D:$AM, 10, FALSE), 1)</f>
        <v>5.9254181720089184E-4</v>
      </c>
      <c r="R2" s="7">
        <f>$B2 * IFERROR(VLOOKUP("industry|NOx|Premature mortality", US_national_yearly!$D:$AM, 26, FALSE) / VLOOKUP("industry|NOx|Premature mortality", US_national_yearly!$D:$AM, 10, FALSE), 1)</f>
        <v>5.9861301792808047E-4</v>
      </c>
      <c r="S2" s="7">
        <f>$B2 * IFERROR(VLOOKUP("industry|NOx|Premature mortality", US_national_yearly!$D:$AM, 27, FALSE) / VLOOKUP("industry|NOx|Premature mortality", US_national_yearly!$D:$AM, 10, FALSE), 1)</f>
        <v>6.0144013553214254E-4</v>
      </c>
      <c r="T2" s="7">
        <f>$B2 * IFERROR(VLOOKUP("industry|NOx|Premature mortality", US_national_yearly!$D:$AM, 28, FALSE) / VLOOKUP("industry|NOx|Premature mortality", US_national_yearly!$D:$AM, 10, FALSE), 1)</f>
        <v>6.0426725313620462E-4</v>
      </c>
      <c r="U2" s="7">
        <f>$B2 * IFERROR(VLOOKUP("industry|NOx|Premature mortality", US_national_yearly!$D:$AM, 29, FALSE) / VLOOKUP("industry|NOx|Premature mortality", US_national_yearly!$D:$AM, 10, FALSE), 1)</f>
        <v>6.0709437074026658E-4</v>
      </c>
      <c r="V2" s="7">
        <f>$B2 * IFERROR(VLOOKUP("industry|NOx|Premature mortality", US_national_yearly!$D:$AM, 30, FALSE) / VLOOKUP("industry|NOx|Premature mortality", US_national_yearly!$D:$AM, 10, FALSE), 1)</f>
        <v>6.0992148834432866E-4</v>
      </c>
      <c r="W2" s="7">
        <f>$B2 * IFERROR(VLOOKUP("industry|NOx|Premature mortality", US_national_yearly!$D:$AM, 31, FALSE) / VLOOKUP("industry|NOx|Premature mortality", US_national_yearly!$D:$AM, 10, FALSE), 1)</f>
        <v>6.1274860594839062E-4</v>
      </c>
      <c r="X2" s="7">
        <f>$B2 * IFERROR(VLOOKUP("industry|NOx|Premature mortality", US_national_yearly!$D:$AM, 32, FALSE) / VLOOKUP("industry|NOx|Premature mortality", US_national_yearly!$D:$AM, 10, FALSE), 1)</f>
        <v>6.1296466331731342E-4</v>
      </c>
      <c r="Y2" s="7">
        <f>$B2 * IFERROR(VLOOKUP("industry|NOx|Premature mortality", US_national_yearly!$D:$AM, 33, FALSE) / VLOOKUP("industry|NOx|Premature mortality", US_national_yearly!$D:$AM, 10, FALSE), 1)</f>
        <v>6.1318072068623623E-4</v>
      </c>
      <c r="Z2" s="7">
        <f>$B2 * IFERROR(VLOOKUP("industry|NOx|Premature mortality", US_national_yearly!$D:$AM, 34, FALSE) / VLOOKUP("industry|NOx|Premature mortality", US_national_yearly!$D:$AM, 10, FALSE), 1)</f>
        <v>6.1339677805515903E-4</v>
      </c>
      <c r="AA2" s="7">
        <f>$B2 * IFERROR(VLOOKUP("industry|NOx|Premature mortality", US_national_yearly!$D:$AM, 35, FALSE) / VLOOKUP("industry|NOx|Premature mortality", US_national_yearly!$D:$AM, 10, FALSE), 1)</f>
        <v>6.1361283542408183E-4</v>
      </c>
      <c r="AB2" s="7">
        <f>$B2 * IFERROR(VLOOKUP("industry|NOx|Premature mortality", US_national_yearly!$D:$AM, 36, FALSE) / VLOOKUP("industry|NOx|Premature mortality", US_national_yearly!$D:$AM, 10, FALSE), 1)</f>
        <v>6.1382889279300475E-4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1.1907420423165211E-6</v>
      </c>
      <c r="C3" s="7">
        <f>$B3 * IFERROR(VLOOKUP("industry|NOx|Infant mortality", US_national_yearly!$D:$AM, 11, FALSE) / VLOOKUP("industry|NOx|Infant mortality", US_national_yearly!$D:$AM, 10, FALSE), 1)</f>
        <v>1.1793385053243716E-6</v>
      </c>
      <c r="D3" s="7">
        <f>$B3 * IFERROR(VLOOKUP("industry|NOx|Infant mortality", US_national_yearly!$D:$AM, 12, FALSE) / VLOOKUP("industry|NOx|Infant mortality", US_national_yearly!$D:$AM, 10, FALSE), 1)</f>
        <v>1.1679349683322219E-6</v>
      </c>
      <c r="E3" s="7">
        <f>$B3 * IFERROR(VLOOKUP("industry|NOx|Infant mortality", US_national_yearly!$D:$AM, 13, FALSE) / VLOOKUP("industry|NOx|Infant mortality", US_national_yearly!$D:$AM, 10, FALSE), 1)</f>
        <v>1.1565314313400723E-6</v>
      </c>
      <c r="F3" s="7">
        <f>$B3 * IFERROR(VLOOKUP("industry|NOx|Infant mortality", US_national_yearly!$D:$AM, 14, FALSE) / VLOOKUP("industry|NOx|Infant mortality", US_national_yearly!$D:$AM, 10, FALSE), 1)</f>
        <v>1.1451278943479226E-6</v>
      </c>
      <c r="G3" s="7">
        <f>$B3 * IFERROR(VLOOKUP("industry|NOx|Infant mortality", US_national_yearly!$D:$AM, 15, FALSE) / VLOOKUP("industry|NOx|Infant mortality", US_national_yearly!$D:$AM, 10, FALSE), 1)</f>
        <v>7.5954986057448815E-7</v>
      </c>
      <c r="H3" s="7">
        <f>$B3 * IFERROR(VLOOKUP("industry|NOx|Infant mortality", US_national_yearly!$D:$AM, 16, FALSE) / VLOOKUP("industry|NOx|Infant mortality", US_national_yearly!$D:$AM, 10, FALSE), 1)</f>
        <v>3.7397182680105374E-7</v>
      </c>
      <c r="I3" s="7">
        <f>$B3 * IFERROR(VLOOKUP("industry|NOx|Infant mortality", US_national_yearly!$D:$AM, 17, FALSE) / VLOOKUP("industry|NOx|Infant mortality", US_national_yearly!$D:$AM, 10, FALSE), 1)</f>
        <v>3.7127565139703153E-7</v>
      </c>
      <c r="J3" s="7">
        <f>$B3 * IFERROR(VLOOKUP("industry|NOx|Infant mortality", US_national_yearly!$D:$AM, 18, FALSE) / VLOOKUP("industry|NOx|Infant mortality", US_national_yearly!$D:$AM, 10, FALSE), 1)</f>
        <v>3.6857947599300937E-7</v>
      </c>
      <c r="K3" s="7">
        <f>$B3 * IFERROR(VLOOKUP("industry|NOx|Infant mortality", US_national_yearly!$D:$AM, 19, FALSE) / VLOOKUP("industry|NOx|Infant mortality", US_national_yearly!$D:$AM, 10, FALSE), 1)</f>
        <v>3.6588330058898716E-7</v>
      </c>
      <c r="L3" s="7">
        <f>$B3 * IFERROR(VLOOKUP("industry|NOx|Infant mortality", US_national_yearly!$D:$AM, 20, FALSE) / VLOOKUP("industry|NOx|Infant mortality", US_national_yearly!$D:$AM, 10, FALSE), 1)</f>
        <v>3.6318712518496485E-7</v>
      </c>
      <c r="M3" s="7">
        <f>$B3 * IFERROR(VLOOKUP("industry|NOx|Infant mortality", US_national_yearly!$D:$AM, 21, FALSE) / VLOOKUP("industry|NOx|Infant mortality", US_national_yearly!$D:$AM, 10, FALSE), 1)</f>
        <v>3.6049094978094264E-7</v>
      </c>
      <c r="N3" s="7">
        <f>$B3 * IFERROR(VLOOKUP("industry|NOx|Infant mortality", US_national_yearly!$D:$AM, 22, FALSE) / VLOOKUP("industry|NOx|Infant mortality", US_national_yearly!$D:$AM, 10, FALSE), 1)</f>
        <v>3.5867438840999291E-7</v>
      </c>
      <c r="O3" s="7">
        <f>$B3 * IFERROR(VLOOKUP("industry|NOx|Infant mortality", US_national_yearly!$D:$AM, 23, FALSE) / VLOOKUP("industry|NOx|Infant mortality", US_national_yearly!$D:$AM, 10, FALSE), 1)</f>
        <v>3.5685782703904312E-7</v>
      </c>
      <c r="P3" s="7">
        <f>$B3 * IFERROR(VLOOKUP("industry|NOx|Infant mortality", US_national_yearly!$D:$AM, 24, FALSE) / VLOOKUP("industry|NOx|Infant mortality", US_national_yearly!$D:$AM, 10, FALSE), 1)</f>
        <v>3.5504126566809344E-7</v>
      </c>
      <c r="Q3" s="7">
        <f>$B3 * IFERROR(VLOOKUP("industry|NOx|Infant mortality", US_national_yearly!$D:$AM, 25, FALSE) / VLOOKUP("industry|NOx|Infant mortality", US_national_yearly!$D:$AM, 10, FALSE), 1)</f>
        <v>3.5322470429714371E-7</v>
      </c>
      <c r="R3" s="7">
        <f>$B3 * IFERROR(VLOOKUP("industry|NOx|Infant mortality", US_national_yearly!$D:$AM, 26, FALSE) / VLOOKUP("industry|NOx|Infant mortality", US_national_yearly!$D:$AM, 10, FALSE), 1)</f>
        <v>3.5140814292619403E-7</v>
      </c>
      <c r="S3" s="7">
        <f>$B3 * IFERROR(VLOOKUP("industry|NOx|Infant mortality", US_national_yearly!$D:$AM, 27, FALSE) / VLOOKUP("industry|NOx|Infant mortality", US_national_yearly!$D:$AM, 10, FALSE), 1)</f>
        <v>3.4925100877481279E-7</v>
      </c>
      <c r="T3" s="7">
        <f>$B3 * IFERROR(VLOOKUP("industry|NOx|Infant mortality", US_national_yearly!$D:$AM, 28, FALSE) / VLOOKUP("industry|NOx|Infant mortality", US_national_yearly!$D:$AM, 10, FALSE), 1)</f>
        <v>3.4709387462343154E-7</v>
      </c>
      <c r="U3" s="7">
        <f>$B3 * IFERROR(VLOOKUP("industry|NOx|Infant mortality", US_national_yearly!$D:$AM, 29, FALSE) / VLOOKUP("industry|NOx|Infant mortality", US_national_yearly!$D:$AM, 10, FALSE), 1)</f>
        <v>3.4493674047205029E-7</v>
      </c>
      <c r="V3" s="7">
        <f>$B3 * IFERROR(VLOOKUP("industry|NOx|Infant mortality", US_national_yearly!$D:$AM, 30, FALSE) / VLOOKUP("industry|NOx|Infant mortality", US_national_yearly!$D:$AM, 10, FALSE), 1)</f>
        <v>3.4277960632066905E-7</v>
      </c>
      <c r="W3" s="7">
        <f>$B3 * IFERROR(VLOOKUP("industry|NOx|Infant mortality", US_national_yearly!$D:$AM, 31, FALSE) / VLOOKUP("industry|NOx|Infant mortality", US_national_yearly!$D:$AM, 10, FALSE), 1)</f>
        <v>3.4062247216928791E-7</v>
      </c>
      <c r="X3" s="7">
        <f>$B3 * IFERROR(VLOOKUP("industry|NOx|Infant mortality", US_national_yearly!$D:$AM, 32, FALSE) / VLOOKUP("industry|NOx|Infant mortality", US_national_yearly!$D:$AM, 10, FALSE), 1)</f>
        <v>3.3835724245503332E-7</v>
      </c>
      <c r="Y3" s="7">
        <f>$B3 * IFERROR(VLOOKUP("industry|NOx|Infant mortality", US_national_yearly!$D:$AM, 33, FALSE) / VLOOKUP("industry|NOx|Infant mortality", US_national_yearly!$D:$AM, 10, FALSE), 1)</f>
        <v>3.3609201274077884E-7</v>
      </c>
      <c r="Z3" s="7">
        <f>$B3 * IFERROR(VLOOKUP("industry|NOx|Infant mortality", US_national_yearly!$D:$AM, 34, FALSE) / VLOOKUP("industry|NOx|Infant mortality", US_national_yearly!$D:$AM, 10, FALSE), 1)</f>
        <v>3.3382678302652436E-7</v>
      </c>
      <c r="AA3" s="7">
        <f>$B3 * IFERROR(VLOOKUP("industry|NOx|Infant mortality", US_national_yearly!$D:$AM, 35, FALSE) / VLOOKUP("industry|NOx|Infant mortality", US_national_yearly!$D:$AM, 10, FALSE), 1)</f>
        <v>3.3156155331226987E-7</v>
      </c>
      <c r="AB3" s="7">
        <f>$B3 * IFERROR(VLOOKUP("industry|NOx|Infant mortality", US_national_yearly!$D:$AM, 36, FALSE) / VLOOKUP("industry|NOx|Infant mortality", US_national_yearly!$D:$AM, 10, FALSE), 1)</f>
        <v>3.2929632359801539E-7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1.0666121697491808E-3</v>
      </c>
      <c r="C6" s="7">
        <f>$B6 * IFERROR(VLOOKUP("industry|NOx|Asthma symptoms cough", US_national_yearly!$D:$AM, 11, FALSE) / VLOOKUP("industry|NOx|Asthma symptoms cough", US_national_yearly!$D:$AM, 10, FALSE), 1)</f>
        <v>1.081203786152095E-3</v>
      </c>
      <c r="D6" s="7">
        <f>$B6 * IFERROR(VLOOKUP("industry|NOx|Asthma symptoms cough", US_national_yearly!$D:$AM, 12, FALSE) / VLOOKUP("industry|NOx|Asthma symptoms cough", US_national_yearly!$D:$AM, 10, FALSE), 1)</f>
        <v>1.0957954025550094E-3</v>
      </c>
      <c r="E6" s="7">
        <f>$B6 * IFERROR(VLOOKUP("industry|NOx|Asthma symptoms cough", US_national_yearly!$D:$AM, 13, FALSE) / VLOOKUP("industry|NOx|Asthma symptoms cough", US_national_yearly!$D:$AM, 10, FALSE), 1)</f>
        <v>1.1103870189579236E-3</v>
      </c>
      <c r="F6" s="7">
        <f>$B6 * IFERROR(VLOOKUP("industry|NOx|Asthma symptoms cough", US_national_yearly!$D:$AM, 14, FALSE) / VLOOKUP("industry|NOx|Asthma symptoms cough", US_national_yearly!$D:$AM, 10, FALSE), 1)</f>
        <v>1.1249786353608379E-3</v>
      </c>
      <c r="G6" s="7">
        <f>$B6 * IFERROR(VLOOKUP("industry|NOx|Asthma symptoms cough", US_national_yearly!$D:$AM, 15, FALSE) / VLOOKUP("industry|NOx|Asthma symptoms cough", US_national_yearly!$D:$AM, 10, FALSE), 1)</f>
        <v>1.1366788480098352E-3</v>
      </c>
      <c r="H6" s="7">
        <f>$B6 * IFERROR(VLOOKUP("industry|NOx|Asthma symptoms cough", US_national_yearly!$D:$AM, 16, FALSE) / VLOOKUP("industry|NOx|Asthma symptoms cough", US_national_yearly!$D:$AM, 10, FALSE), 1)</f>
        <v>1.1483790606588329E-3</v>
      </c>
      <c r="I6" s="7">
        <f>$B6 * IFERROR(VLOOKUP("industry|NOx|Asthma symptoms cough", US_national_yearly!$D:$AM, 17, FALSE) / VLOOKUP("industry|NOx|Asthma symptoms cough", US_national_yearly!$D:$AM, 10, FALSE), 1)</f>
        <v>1.1524508383838519E-3</v>
      </c>
      <c r="J6" s="7">
        <f>$B6 * IFERROR(VLOOKUP("industry|NOx|Asthma symptoms cough", US_national_yearly!$D:$AM, 18, FALSE) / VLOOKUP("industry|NOx|Asthma symptoms cough", US_national_yearly!$D:$AM, 10, FALSE), 1)</f>
        <v>1.1565226161088708E-3</v>
      </c>
      <c r="K6" s="7">
        <f>$B6 * IFERROR(VLOOKUP("industry|NOx|Asthma symptoms cough", US_national_yearly!$D:$AM, 19, FALSE) / VLOOKUP("industry|NOx|Asthma symptoms cough", US_national_yearly!$D:$AM, 10, FALSE), 1)</f>
        <v>1.1605943938338898E-3</v>
      </c>
      <c r="L6" s="7">
        <f>$B6 * IFERROR(VLOOKUP("industry|NOx|Asthma symptoms cough", US_national_yearly!$D:$AM, 20, FALSE) / VLOOKUP("industry|NOx|Asthma symptoms cough", US_national_yearly!$D:$AM, 10, FALSE), 1)</f>
        <v>1.1646661715589088E-3</v>
      </c>
      <c r="M6" s="7">
        <f>$B6 * IFERROR(VLOOKUP("industry|NOx|Asthma symptoms cough", US_national_yearly!$D:$AM, 21, FALSE) / VLOOKUP("industry|NOx|Asthma symptoms cough", US_national_yearly!$D:$AM, 10, FALSE), 1)</f>
        <v>1.1687379492839279E-3</v>
      </c>
      <c r="N6" s="7">
        <f>$B6 * IFERROR(VLOOKUP("industry|NOx|Asthma symptoms cough", US_national_yearly!$D:$AM, 22, FALSE) / VLOOKUP("industry|NOx|Asthma symptoms cough", US_national_yearly!$D:$AM, 10, FALSE), 1)</f>
        <v>1.1733859947111649E-3</v>
      </c>
      <c r="O6" s="7">
        <f>$B6 * IFERROR(VLOOKUP("industry|NOx|Asthma symptoms cough", US_national_yearly!$D:$AM, 23, FALSE) / VLOOKUP("industry|NOx|Asthma symptoms cough", US_national_yearly!$D:$AM, 10, FALSE), 1)</f>
        <v>1.1780340401384016E-3</v>
      </c>
      <c r="P6" s="7">
        <f>$B6 * IFERROR(VLOOKUP("industry|NOx|Asthma symptoms cough", US_national_yearly!$D:$AM, 24, FALSE) / VLOOKUP("industry|NOx|Asthma symptoms cough", US_national_yearly!$D:$AM, 10, FALSE), 1)</f>
        <v>1.1826820855656388E-3</v>
      </c>
      <c r="Q6" s="7">
        <f>$B6 * IFERROR(VLOOKUP("industry|NOx|Asthma symptoms cough", US_national_yearly!$D:$AM, 25, FALSE) / VLOOKUP("industry|NOx|Asthma symptoms cough", US_national_yearly!$D:$AM, 10, FALSE), 1)</f>
        <v>1.1873301309928757E-3</v>
      </c>
      <c r="R6" s="7">
        <f>$B6 * IFERROR(VLOOKUP("industry|NOx|Asthma symptoms cough", US_national_yearly!$D:$AM, 26, FALSE) / VLOOKUP("industry|NOx|Asthma symptoms cough", US_national_yearly!$D:$AM, 10, FALSE), 1)</f>
        <v>1.1919781764201129E-3</v>
      </c>
      <c r="S6" s="7">
        <f>$B6 * IFERROR(VLOOKUP("industry|NOx|Asthma symptoms cough", US_national_yearly!$D:$AM, 27, FALSE) / VLOOKUP("industry|NOx|Asthma symptoms cough", US_national_yearly!$D:$AM, 10, FALSE), 1)</f>
        <v>1.1979739493637863E-3</v>
      </c>
      <c r="T6" s="7">
        <f>$B6 * IFERROR(VLOOKUP("industry|NOx|Asthma symptoms cough", US_national_yearly!$D:$AM, 28, FALSE) / VLOOKUP("industry|NOx|Asthma symptoms cough", US_national_yearly!$D:$AM, 10, FALSE), 1)</f>
        <v>1.20396972230746E-3</v>
      </c>
      <c r="U6" s="7">
        <f>$B6 * IFERROR(VLOOKUP("industry|NOx|Asthma symptoms cough", US_national_yearly!$D:$AM, 29, FALSE) / VLOOKUP("industry|NOx|Asthma symptoms cough", US_national_yearly!$D:$AM, 10, FALSE), 1)</f>
        <v>1.2099654952511334E-3</v>
      </c>
      <c r="V6" s="7">
        <f>$B6 * IFERROR(VLOOKUP("industry|NOx|Asthma symptoms cough", US_national_yearly!$D:$AM, 30, FALSE) / VLOOKUP("industry|NOx|Asthma symptoms cough", US_national_yearly!$D:$AM, 10, FALSE), 1)</f>
        <v>1.2159612681948066E-3</v>
      </c>
      <c r="W6" s="7">
        <f>$B6 * IFERROR(VLOOKUP("industry|NOx|Asthma symptoms cough", US_national_yearly!$D:$AM, 31, FALSE) / VLOOKUP("industry|NOx|Asthma symptoms cough", US_national_yearly!$D:$AM, 10, FALSE), 1)</f>
        <v>1.2219570411384805E-3</v>
      </c>
      <c r="X6" s="7">
        <f>$B6 * IFERROR(VLOOKUP("industry|NOx|Asthma symptoms cough", US_national_yearly!$D:$AM, 32, FALSE) / VLOOKUP("industry|NOx|Asthma symptoms cough", US_national_yearly!$D:$AM, 10, FALSE), 1)</f>
        <v>1.2275155837239158E-3</v>
      </c>
      <c r="Y6" s="7">
        <f>$B6 * IFERROR(VLOOKUP("industry|NOx|Asthma symptoms cough", US_national_yearly!$D:$AM, 33, FALSE) / VLOOKUP("industry|NOx|Asthma symptoms cough", US_national_yearly!$D:$AM, 10, FALSE), 1)</f>
        <v>1.233074126309351E-3</v>
      </c>
      <c r="Z6" s="7">
        <f>$B6 * IFERROR(VLOOKUP("industry|NOx|Asthma symptoms cough", US_national_yearly!$D:$AM, 34, FALSE) / VLOOKUP("industry|NOx|Asthma symptoms cough", US_national_yearly!$D:$AM, 10, FALSE), 1)</f>
        <v>1.2386326688947865E-3</v>
      </c>
      <c r="AA6" s="7">
        <f>$B6 * IFERROR(VLOOKUP("industry|NOx|Asthma symptoms cough", US_national_yearly!$D:$AM, 35, FALSE) / VLOOKUP("industry|NOx|Asthma symptoms cough", US_national_yearly!$D:$AM, 10, FALSE), 1)</f>
        <v>1.2441912114802217E-3</v>
      </c>
      <c r="AB6" s="7">
        <f>$B6 * IFERROR(VLOOKUP("industry|NOx|Asthma symptoms cough", US_national_yearly!$D:$AM, 36, FALSE) / VLOOKUP("industry|NOx|Asthma symptoms cough", US_national_yearly!$D:$AM, 10, FALSE), 1)</f>
        <v>1.2497497540656572E-3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1.4363384007172921E-3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1.4559879973729739E-3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1.4756375940286558E-3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1.4952871906843376E-3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1.5149367873400197E-3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1.5306927154446997E-3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1.5464486435493798E-3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1.5519318461552174E-3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1.557415048761055E-3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1.5628982513668926E-3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1.5683814539727309E-3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1.5738646565785685E-3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1.580123882054669E-3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1.5863831075307695E-3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1.5926423330068704E-3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1.5989015584829713E-3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1.6051607839590717E-3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1.6132349079108271E-3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1.6213090318625829E-3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1.6293831558143383E-3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1.6374572797660939E-3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1.6455314037178491E-3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1.6530167375011424E-3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1.6605020712844355E-3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1.6679874050677286E-3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1.6754727388510215E-3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1.6829580726343146E-3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2.1945160904849057E-3</v>
      </c>
      <c r="C8" s="7">
        <f>$B8 * IFERROR(VLOOKUP("industry|NOx|Asthma symptoms wheeze", US_national_yearly!$D:$AM, 11, FALSE) / VLOOKUP("industry|NOx|Asthma symptoms wheeze", US_national_yearly!$D:$AM, 10, FALSE), 1)</f>
        <v>2.2245378152618857E-3</v>
      </c>
      <c r="D8" s="7">
        <f>$B8 * IFERROR(VLOOKUP("industry|NOx|Asthma symptoms wheeze", US_national_yearly!$D:$AM, 12, FALSE) / VLOOKUP("industry|NOx|Asthma symptoms wheeze", US_national_yearly!$D:$AM, 10, FALSE), 1)</f>
        <v>2.2545595400388658E-3</v>
      </c>
      <c r="E8" s="7">
        <f>$B8 * IFERROR(VLOOKUP("industry|NOx|Asthma symptoms wheeze", US_national_yearly!$D:$AM, 13, FALSE) / VLOOKUP("industry|NOx|Asthma symptoms wheeze", US_national_yearly!$D:$AM, 10, FALSE), 1)</f>
        <v>2.2845812648158458E-3</v>
      </c>
      <c r="F8" s="7">
        <f>$B8 * IFERROR(VLOOKUP("industry|NOx|Asthma symptoms wheeze", US_national_yearly!$D:$AM, 14, FALSE) / VLOOKUP("industry|NOx|Asthma symptoms wheeze", US_national_yearly!$D:$AM, 10, FALSE), 1)</f>
        <v>2.3146029895928255E-3</v>
      </c>
      <c r="G8" s="7">
        <f>$B8 * IFERROR(VLOOKUP("industry|NOx|Asthma symptoms wheeze", US_national_yearly!$D:$AM, 15, FALSE) / VLOOKUP("industry|NOx|Asthma symptoms wheeze", US_national_yearly!$D:$AM, 10, FALSE), 1)</f>
        <v>2.3386757553762751E-3</v>
      </c>
      <c r="H8" s="7">
        <f>$B8 * IFERROR(VLOOKUP("industry|NOx|Asthma symptoms wheeze", US_national_yearly!$D:$AM, 16, FALSE) / VLOOKUP("industry|NOx|Asthma symptoms wheeze", US_national_yearly!$D:$AM, 10, FALSE), 1)</f>
        <v>2.3627485211597235E-3</v>
      </c>
      <c r="I8" s="7">
        <f>$B8 * IFERROR(VLOOKUP("industry|NOx|Asthma symptoms wheeze", US_national_yearly!$D:$AM, 17, FALSE) / VLOOKUP("industry|NOx|Asthma symptoms wheeze", US_national_yearly!$D:$AM, 10, FALSE), 1)</f>
        <v>2.3711260570660861E-3</v>
      </c>
      <c r="J8" s="7">
        <f>$B8 * IFERROR(VLOOKUP("industry|NOx|Asthma symptoms wheeze", US_national_yearly!$D:$AM, 18, FALSE) / VLOOKUP("industry|NOx|Asthma symptoms wheeze", US_national_yearly!$D:$AM, 10, FALSE), 1)</f>
        <v>2.3795035929724483E-3</v>
      </c>
      <c r="K8" s="7">
        <f>$B8 * IFERROR(VLOOKUP("industry|NOx|Asthma symptoms wheeze", US_national_yearly!$D:$AM, 19, FALSE) / VLOOKUP("industry|NOx|Asthma symptoms wheeze", US_national_yearly!$D:$AM, 10, FALSE), 1)</f>
        <v>2.387881128878811E-3</v>
      </c>
      <c r="L8" s="7">
        <f>$B8 * IFERROR(VLOOKUP("industry|NOx|Asthma symptoms wheeze", US_national_yearly!$D:$AM, 20, FALSE) / VLOOKUP("industry|NOx|Asthma symptoms wheeze", US_national_yearly!$D:$AM, 10, FALSE), 1)</f>
        <v>2.3962586647851727E-3</v>
      </c>
      <c r="M8" s="7">
        <f>$B8 * IFERROR(VLOOKUP("industry|NOx|Asthma symptoms wheeze", US_national_yearly!$D:$AM, 21, FALSE) / VLOOKUP("industry|NOx|Asthma symptoms wheeze", US_national_yearly!$D:$AM, 10, FALSE), 1)</f>
        <v>2.4046362006915354E-3</v>
      </c>
      <c r="N8" s="7">
        <f>$B8 * IFERROR(VLOOKUP("industry|NOx|Asthma symptoms wheeze", US_national_yearly!$D:$AM, 22, FALSE) / VLOOKUP("industry|NOx|Asthma symptoms wheeze", US_national_yearly!$D:$AM, 10, FALSE), 1)</f>
        <v>2.414199386622263E-3</v>
      </c>
      <c r="O8" s="7">
        <f>$B8 * IFERROR(VLOOKUP("industry|NOx|Asthma symptoms wheeze", US_national_yearly!$D:$AM, 23, FALSE) / VLOOKUP("industry|NOx|Asthma symptoms wheeze", US_national_yearly!$D:$AM, 10, FALSE), 1)</f>
        <v>2.4237625725529906E-3</v>
      </c>
      <c r="P8" s="7">
        <f>$B8 * IFERROR(VLOOKUP("industry|NOx|Asthma symptoms wheeze", US_national_yearly!$D:$AM, 24, FALSE) / VLOOKUP("industry|NOx|Asthma symptoms wheeze", US_national_yearly!$D:$AM, 10, FALSE), 1)</f>
        <v>2.4333257584837182E-3</v>
      </c>
      <c r="Q8" s="7">
        <f>$B8 * IFERROR(VLOOKUP("industry|NOx|Asthma symptoms wheeze", US_national_yearly!$D:$AM, 25, FALSE) / VLOOKUP("industry|NOx|Asthma symptoms wheeze", US_national_yearly!$D:$AM, 10, FALSE), 1)</f>
        <v>2.4428889444144458E-3</v>
      </c>
      <c r="R8" s="7">
        <f>$B8 * IFERROR(VLOOKUP("industry|NOx|Asthma symptoms wheeze", US_national_yearly!$D:$AM, 26, FALSE) / VLOOKUP("industry|NOx|Asthma symptoms wheeze", US_national_yearly!$D:$AM, 10, FALSE), 1)</f>
        <v>2.4524521303451734E-3</v>
      </c>
      <c r="S8" s="7">
        <f>$B8 * IFERROR(VLOOKUP("industry|NOx|Asthma symptoms wheeze", US_national_yearly!$D:$AM, 27, FALSE) / VLOOKUP("industry|NOx|Asthma symptoms wheeze", US_national_yearly!$D:$AM, 10, FALSE), 1)</f>
        <v>2.4647882170588768E-3</v>
      </c>
      <c r="T8" s="7">
        <f>$B8 * IFERROR(VLOOKUP("industry|NOx|Asthma symptoms wheeze", US_national_yearly!$D:$AM, 28, FALSE) / VLOOKUP("industry|NOx|Asthma symptoms wheeze", US_national_yearly!$D:$AM, 10, FALSE), 1)</f>
        <v>2.4771243037725798E-3</v>
      </c>
      <c r="U8" s="7">
        <f>$B8 * IFERROR(VLOOKUP("industry|NOx|Asthma symptoms wheeze", US_national_yearly!$D:$AM, 29, FALSE) / VLOOKUP("industry|NOx|Asthma symptoms wheeze", US_national_yearly!$D:$AM, 10, FALSE), 1)</f>
        <v>2.4894603904862828E-3</v>
      </c>
      <c r="V8" s="7">
        <f>$B8 * IFERROR(VLOOKUP("industry|NOx|Asthma symptoms wheeze", US_national_yearly!$D:$AM, 30, FALSE) / VLOOKUP("industry|NOx|Asthma symptoms wheeze", US_national_yearly!$D:$AM, 10, FALSE), 1)</f>
        <v>2.5017964771999854E-3</v>
      </c>
      <c r="W8" s="7">
        <f>$B8 * IFERROR(VLOOKUP("industry|NOx|Asthma symptoms wheeze", US_national_yearly!$D:$AM, 31, FALSE) / VLOOKUP("industry|NOx|Asthma symptoms wheeze", US_national_yearly!$D:$AM, 10, FALSE), 1)</f>
        <v>2.5141325639136884E-3</v>
      </c>
      <c r="X8" s="7">
        <f>$B8 * IFERROR(VLOOKUP("industry|NOx|Asthma symptoms wheeze", US_national_yearly!$D:$AM, 32, FALSE) / VLOOKUP("industry|NOx|Asthma symptoms wheeze", US_national_yearly!$D:$AM, 10, FALSE), 1)</f>
        <v>2.5255690649251287E-3</v>
      </c>
      <c r="Y8" s="7">
        <f>$B8 * IFERROR(VLOOKUP("industry|NOx|Asthma symptoms wheeze", US_national_yearly!$D:$AM, 33, FALSE) / VLOOKUP("industry|NOx|Asthma symptoms wheeze", US_national_yearly!$D:$AM, 10, FALSE), 1)</f>
        <v>2.5370055659365686E-3</v>
      </c>
      <c r="Z8" s="7">
        <f>$B8 * IFERROR(VLOOKUP("industry|NOx|Asthma symptoms wheeze", US_national_yearly!$D:$AM, 34, FALSE) / VLOOKUP("industry|NOx|Asthma symptoms wheeze", US_national_yearly!$D:$AM, 10, FALSE), 1)</f>
        <v>2.5484420669480085E-3</v>
      </c>
      <c r="AA8" s="7">
        <f>$B8 * IFERROR(VLOOKUP("industry|NOx|Asthma symptoms wheeze", US_national_yearly!$D:$AM, 35, FALSE) / VLOOKUP("industry|NOx|Asthma symptoms wheeze", US_national_yearly!$D:$AM, 10, FALSE), 1)</f>
        <v>2.5598785679594475E-3</v>
      </c>
      <c r="AB8" s="7">
        <f>$B8 * IFERROR(VLOOKUP("industry|NOx|Asthma symptoms wheeze", US_national_yearly!$D:$AM, 36, FALSE) / VLOOKUP("industry|NOx|Asthma symptoms wheeze", US_national_yearly!$D:$AM, 10, FALSE), 1)</f>
        <v>2.5713150689708891E-3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3.43772505531868E-5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3.5240920979390036E-5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3.6104591405593272E-5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3.6968261831796515E-5</v>
      </c>
      <c r="F12" s="7">
        <f>$B12 * IFERROR(VLOOKUP("industry|NOx|Respiratory hospital admissions", US_national_yearly!$D:$AM, 14, FALSE) / VLOOKUP("industry|NOx|Respiratory hospital admissions", US_national_yearly!$D:$AM, 10, FALSE), 1)</f>
        <v>3.7831932257999744E-5</v>
      </c>
      <c r="G12" s="7">
        <f>$B12 * IFERROR(VLOOKUP("industry|NOx|Respiratory hospital admissions", US_national_yearly!$D:$AM, 15, FALSE) / VLOOKUP("industry|NOx|Respiratory hospital admissions", US_national_yearly!$D:$AM, 10, FALSE), 1)</f>
        <v>3.8658071425708421E-5</v>
      </c>
      <c r="H12" s="7">
        <f>$B12 * IFERROR(VLOOKUP("industry|NOx|Respiratory hospital admissions", US_national_yearly!$D:$AM, 16, FALSE) / VLOOKUP("industry|NOx|Respiratory hospital admissions", US_national_yearly!$D:$AM, 10, FALSE), 1)</f>
        <v>3.9484210593417098E-5</v>
      </c>
      <c r="I12" s="7">
        <f>$B12 * IFERROR(VLOOKUP("industry|NOx|Respiratory hospital admissions", US_national_yearly!$D:$AM, 17, FALSE) / VLOOKUP("industry|NOx|Respiratory hospital admissions", US_national_yearly!$D:$AM, 10, FALSE), 1)</f>
        <v>4.0187780277909538E-5</v>
      </c>
      <c r="J12" s="7">
        <f>$B12 * IFERROR(VLOOKUP("industry|NOx|Respiratory hospital admissions", US_national_yearly!$D:$AM, 18, FALSE) / VLOOKUP("industry|NOx|Respiratory hospital admissions", US_national_yearly!$D:$AM, 10, FALSE), 1)</f>
        <v>4.0891349962401986E-5</v>
      </c>
      <c r="K12" s="7">
        <f>$B12 * IFERROR(VLOOKUP("industry|NOx|Respiratory hospital admissions", US_national_yearly!$D:$AM, 19, FALSE) / VLOOKUP("industry|NOx|Respiratory hospital admissions", US_national_yearly!$D:$AM, 10, FALSE), 1)</f>
        <v>4.159491964689444E-5</v>
      </c>
      <c r="L12" s="7">
        <f>$B12 * IFERROR(VLOOKUP("industry|NOx|Respiratory hospital admissions", US_national_yearly!$D:$AM, 20, FALSE) / VLOOKUP("industry|NOx|Respiratory hospital admissions", US_national_yearly!$D:$AM, 10, FALSE), 1)</f>
        <v>4.2298489331386894E-5</v>
      </c>
      <c r="M12" s="7">
        <f>$B12 * IFERROR(VLOOKUP("industry|NOx|Respiratory hospital admissions", US_national_yearly!$D:$AM, 21, FALSE) / VLOOKUP("industry|NOx|Respiratory hospital admissions", US_national_yearly!$D:$AM, 10, FALSE), 1)</f>
        <v>4.3002059015879341E-5</v>
      </c>
      <c r="N12" s="7">
        <f>$B12 * IFERROR(VLOOKUP("industry|NOx|Respiratory hospital admissions", US_national_yearly!$D:$AM, 22, FALSE) / VLOOKUP("industry|NOx|Respiratory hospital admissions", US_national_yearly!$D:$AM, 10, FALSE), 1)</f>
        <v>4.3473603371244429E-5</v>
      </c>
      <c r="O12" s="7">
        <f>$B12 * IFERROR(VLOOKUP("industry|NOx|Respiratory hospital admissions", US_national_yearly!$D:$AM, 23, FALSE) / VLOOKUP("industry|NOx|Respiratory hospital admissions", US_national_yearly!$D:$AM, 10, FALSE), 1)</f>
        <v>4.394514772660951E-5</v>
      </c>
      <c r="P12" s="7">
        <f>$B12 * IFERROR(VLOOKUP("industry|NOx|Respiratory hospital admissions", US_national_yearly!$D:$AM, 24, FALSE) / VLOOKUP("industry|NOx|Respiratory hospital admissions", US_national_yearly!$D:$AM, 10, FALSE), 1)</f>
        <v>4.4416692081974591E-5</v>
      </c>
      <c r="Q12" s="7">
        <f>$B12 * IFERROR(VLOOKUP("industry|NOx|Respiratory hospital admissions", US_national_yearly!$D:$AM, 25, FALSE) / VLOOKUP("industry|NOx|Respiratory hospital admissions", US_national_yearly!$D:$AM, 10, FALSE), 1)</f>
        <v>4.4888236437339672E-5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4.535978079270476E-5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4.561578840653893E-5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4.5871796020373113E-5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4.6127803634207284E-5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4.6383811248041454E-5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4.6639818861875637E-5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4.6818323140611774E-5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4.6996827419347917E-5</v>
      </c>
      <c r="Z12" s="7">
        <f>$B12 * IFERROR(VLOOKUP("industry|NOx|Respiratory hospital admissions", US_national_yearly!$D:$AM, 34, FALSE) / VLOOKUP("industry|NOx|Respiratory hospital admissions", US_national_yearly!$D:$AM, 10, FALSE), 1)</f>
        <v>4.7175331698084067E-5</v>
      </c>
      <c r="AA12" s="7">
        <f>$B12 * IFERROR(VLOOKUP("industry|NOx|Respiratory hospital admissions", US_national_yearly!$D:$AM, 35, FALSE) / VLOOKUP("industry|NOx|Respiratory hospital admissions", US_national_yearly!$D:$AM, 10, FALSE), 1)</f>
        <v>4.7353835976820211E-5</v>
      </c>
      <c r="AB12" s="7">
        <f>$B12 * IFERROR(VLOOKUP("industry|NOx|Respiratory hospital admissions", US_national_yearly!$D:$AM, 36, FALSE) / VLOOKUP("industry|NOx|Respiratory hospital admissions", US_national_yearly!$D:$AM, 10, FALSE), 1)</f>
        <v>4.7532340255556347E-5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1.8853714560485948E-4</v>
      </c>
      <c r="C13" s="7">
        <f>$B13 * IFERROR(VLOOKUP("industry|NOx|Non-fatal heart attacks", US_national_yearly!$D:$AM, 11, FALSE) / VLOOKUP("industry|NOx|Non-fatal heart attacks", US_national_yearly!$D:$AM, 10, FALSE), 1)</f>
        <v>1.9392383252617593E-4</v>
      </c>
      <c r="D13" s="7">
        <f>$B13 * IFERROR(VLOOKUP("industry|NOx|Non-fatal heart attacks", US_national_yearly!$D:$AM, 12, FALSE) / VLOOKUP("industry|NOx|Non-fatal heart attacks", US_national_yearly!$D:$AM, 10, FALSE), 1)</f>
        <v>1.9931051944749236E-4</v>
      </c>
      <c r="E13" s="7">
        <f>$B13 * IFERROR(VLOOKUP("industry|NOx|Non-fatal heart attacks", US_national_yearly!$D:$AM, 13, FALSE) / VLOOKUP("industry|NOx|Non-fatal heart attacks", US_national_yearly!$D:$AM, 10, FALSE), 1)</f>
        <v>2.0469720636880881E-4</v>
      </c>
      <c r="F13" s="7">
        <f>$B13 * IFERROR(VLOOKUP("industry|NOx|Non-fatal heart attacks", US_national_yearly!$D:$AM, 14, FALSE) / VLOOKUP("industry|NOx|Non-fatal heart attacks", US_national_yearly!$D:$AM, 10, FALSE), 1)</f>
        <v>2.1008389329012523E-4</v>
      </c>
      <c r="G13" s="7">
        <f>$B13 * IFERROR(VLOOKUP("industry|NOx|Non-fatal heart attacks", US_national_yearly!$D:$AM, 15, FALSE) / VLOOKUP("industry|NOx|Non-fatal heart attacks", US_national_yearly!$D:$AM, 10, FALSE), 1)</f>
        <v>2.1512201473160135E-4</v>
      </c>
      <c r="H13" s="7">
        <f>$B13 * IFERROR(VLOOKUP("industry|NOx|Non-fatal heart attacks", US_national_yearly!$D:$AM, 16, FALSE) / VLOOKUP("industry|NOx|Non-fatal heart attacks", US_national_yearly!$D:$AM, 10, FALSE), 1)</f>
        <v>2.2016013617307743E-4</v>
      </c>
      <c r="I13" s="7">
        <f>$B13 * IFERROR(VLOOKUP("industry|NOx|Non-fatal heart attacks", US_national_yearly!$D:$AM, 17, FALSE) / VLOOKUP("industry|NOx|Non-fatal heart attacks", US_national_yearly!$D:$AM, 10, FALSE), 1)</f>
        <v>2.2414476063016054E-4</v>
      </c>
      <c r="J13" s="7">
        <f>$B13 * IFERROR(VLOOKUP("industry|NOx|Non-fatal heart attacks", US_national_yearly!$D:$AM, 18, FALSE) / VLOOKUP("industry|NOx|Non-fatal heart attacks", US_national_yearly!$D:$AM, 10, FALSE), 1)</f>
        <v>2.2812938508724365E-4</v>
      </c>
      <c r="K13" s="7">
        <f>$B13 * IFERROR(VLOOKUP("industry|NOx|Non-fatal heart attacks", US_national_yearly!$D:$AM, 19, FALSE) / VLOOKUP("industry|NOx|Non-fatal heart attacks", US_national_yearly!$D:$AM, 10, FALSE), 1)</f>
        <v>2.3211400954432668E-4</v>
      </c>
      <c r="L13" s="7">
        <f>$B13 * IFERROR(VLOOKUP("industry|NOx|Non-fatal heart attacks", US_national_yearly!$D:$AM, 20, FALSE) / VLOOKUP("industry|NOx|Non-fatal heart attacks", US_national_yearly!$D:$AM, 10, FALSE), 1)</f>
        <v>2.360986340014099E-4</v>
      </c>
      <c r="M13" s="7">
        <f>$B13 * IFERROR(VLOOKUP("industry|NOx|Non-fatal heart attacks", US_national_yearly!$D:$AM, 21, FALSE) / VLOOKUP("industry|NOx|Non-fatal heart attacks", US_national_yearly!$D:$AM, 10, FALSE), 1)</f>
        <v>2.4008325845849306E-4</v>
      </c>
      <c r="N13" s="7">
        <f>$B13 * IFERROR(VLOOKUP("industry|NOx|Non-fatal heart attacks", US_national_yearly!$D:$AM, 22, FALSE) / VLOOKUP("industry|NOx|Non-fatal heart attacks", US_national_yearly!$D:$AM, 10, FALSE), 1)</f>
        <v>2.424838034501707E-4</v>
      </c>
      <c r="O13" s="7">
        <f>$B13 * IFERROR(VLOOKUP("industry|NOx|Non-fatal heart attacks", US_national_yearly!$D:$AM, 23, FALSE) / VLOOKUP("industry|NOx|Non-fatal heart attacks", US_national_yearly!$D:$AM, 10, FALSE), 1)</f>
        <v>2.448843484418483E-4</v>
      </c>
      <c r="P13" s="7">
        <f>$B13 * IFERROR(VLOOKUP("industry|NOx|Non-fatal heart attacks", US_national_yearly!$D:$AM, 24, FALSE) / VLOOKUP("industry|NOx|Non-fatal heart attacks", US_national_yearly!$D:$AM, 10, FALSE), 1)</f>
        <v>2.4728489343352596E-4</v>
      </c>
      <c r="Q13" s="7">
        <f>$B13 * IFERROR(VLOOKUP("industry|NOx|Non-fatal heart attacks", US_national_yearly!$D:$AM, 25, FALSE) / VLOOKUP("industry|NOx|Non-fatal heart attacks", US_national_yearly!$D:$AM, 10, FALSE), 1)</f>
        <v>2.4968543842520356E-4</v>
      </c>
      <c r="R13" s="7">
        <f>$B13 * IFERROR(VLOOKUP("industry|NOx|Non-fatal heart attacks", US_national_yearly!$D:$AM, 26, FALSE) / VLOOKUP("industry|NOx|Non-fatal heart attacks", US_national_yearly!$D:$AM, 10, FALSE), 1)</f>
        <v>2.5208598341688117E-4</v>
      </c>
      <c r="S13" s="7">
        <f>$B13 * IFERROR(VLOOKUP("industry|NOx|Non-fatal heart attacks", US_national_yearly!$D:$AM, 27, FALSE) / VLOOKUP("industry|NOx|Non-fatal heart attacks", US_national_yearly!$D:$AM, 10, FALSE), 1)</f>
        <v>2.5318740134133412E-4</v>
      </c>
      <c r="T13" s="7">
        <f>$B13 * IFERROR(VLOOKUP("industry|NOx|Non-fatal heart attacks", US_national_yearly!$D:$AM, 28, FALSE) / VLOOKUP("industry|NOx|Non-fatal heart attacks", US_national_yearly!$D:$AM, 10, FALSE), 1)</f>
        <v>2.5428881926578702E-4</v>
      </c>
      <c r="U13" s="7">
        <f>$B13 * IFERROR(VLOOKUP("industry|NOx|Non-fatal heart attacks", US_national_yearly!$D:$AM, 29, FALSE) / VLOOKUP("industry|NOx|Non-fatal heart attacks", US_national_yearly!$D:$AM, 10, FALSE), 1)</f>
        <v>2.5539023719023992E-4</v>
      </c>
      <c r="V13" s="7">
        <f>$B13 * IFERROR(VLOOKUP("industry|NOx|Non-fatal heart attacks", US_national_yearly!$D:$AM, 30, FALSE) / VLOOKUP("industry|NOx|Non-fatal heart attacks", US_national_yearly!$D:$AM, 10, FALSE), 1)</f>
        <v>2.5649165511469288E-4</v>
      </c>
      <c r="W13" s="7">
        <f>$B13 * IFERROR(VLOOKUP("industry|NOx|Non-fatal heart attacks", US_national_yearly!$D:$AM, 31, FALSE) / VLOOKUP("industry|NOx|Non-fatal heart attacks", US_national_yearly!$D:$AM, 10, FALSE), 1)</f>
        <v>2.5759307303914577E-4</v>
      </c>
      <c r="X13" s="7">
        <f>$B13 * IFERROR(VLOOKUP("industry|NOx|Non-fatal heart attacks", US_national_yearly!$D:$AM, 32, FALSE) / VLOOKUP("industry|NOx|Non-fatal heart attacks", US_national_yearly!$D:$AM, 10, FALSE), 1)</f>
        <v>2.5833640947274061E-4</v>
      </c>
      <c r="Y13" s="7">
        <f>$B13 * IFERROR(VLOOKUP("industry|NOx|Non-fatal heart attacks", US_national_yearly!$D:$AM, 33, FALSE) / VLOOKUP("industry|NOx|Non-fatal heart attacks", US_national_yearly!$D:$AM, 10, FALSE), 1)</f>
        <v>2.5907974590633545E-4</v>
      </c>
      <c r="Z13" s="7">
        <f>$B13 * IFERROR(VLOOKUP("industry|NOx|Non-fatal heart attacks", US_national_yearly!$D:$AM, 34, FALSE) / VLOOKUP("industry|NOx|Non-fatal heart attacks", US_national_yearly!$D:$AM, 10, FALSE), 1)</f>
        <v>2.5982308233993035E-4</v>
      </c>
      <c r="AA13" s="7">
        <f>$B13 * IFERROR(VLOOKUP("industry|NOx|Non-fatal heart attacks", US_national_yearly!$D:$AM, 35, FALSE) / VLOOKUP("industry|NOx|Non-fatal heart attacks", US_national_yearly!$D:$AM, 10, FALSE), 1)</f>
        <v>2.6056641877352519E-4</v>
      </c>
      <c r="AB13" s="7">
        <f>$B13 * IFERROR(VLOOKUP("industry|NOx|Non-fatal heart attacks", US_national_yearly!$D:$AM, 36, FALSE) / VLOOKUP("industry|NOx|Non-fatal heart attacks", US_national_yearly!$D:$AM, 10, FALSE), 1)</f>
        <v>2.6130975520712003E-4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0.13371175430749255</v>
      </c>
      <c r="C14" s="7">
        <f>$B14 * IFERROR(VLOOKUP("industry|NOx|Minor restricted activity days", US_national_yearly!$D:$AM, 11, FALSE) / VLOOKUP("industry|NOx|Minor restricted activity days", US_national_yearly!$D:$AM, 10, FALSE), 1)</f>
        <v>0.13390985858930193</v>
      </c>
      <c r="D14" s="7">
        <f>$B14 * IFERROR(VLOOKUP("industry|NOx|Minor restricted activity days", US_national_yearly!$D:$AM, 12, FALSE) / VLOOKUP("industry|NOx|Minor restricted activity days", US_national_yearly!$D:$AM, 10, FALSE), 1)</f>
        <v>0.13410796287111129</v>
      </c>
      <c r="E14" s="7">
        <f>$B14 * IFERROR(VLOOKUP("industry|NOx|Minor restricted activity days", US_national_yearly!$D:$AM, 13, FALSE) / VLOOKUP("industry|NOx|Minor restricted activity days", US_national_yearly!$D:$AM, 10, FALSE), 1)</f>
        <v>0.13430606715292068</v>
      </c>
      <c r="F14" s="7">
        <f>$B14 * IFERROR(VLOOKUP("industry|NOx|Minor restricted activity days", US_national_yearly!$D:$AM, 14, FALSE) / VLOOKUP("industry|NOx|Minor restricted activity days", US_national_yearly!$D:$AM, 10, FALSE), 1)</f>
        <v>0.13450417143473004</v>
      </c>
      <c r="G14" s="7">
        <f>$B14 * IFERROR(VLOOKUP("industry|NOx|Minor restricted activity days", US_national_yearly!$D:$AM, 15, FALSE) / VLOOKUP("industry|NOx|Minor restricted activity days", US_national_yearly!$D:$AM, 10, FALSE), 1)</f>
        <v>0.13486480175339818</v>
      </c>
      <c r="H14" s="7">
        <f>$B14 * IFERROR(VLOOKUP("industry|NOx|Minor restricted activity days", US_national_yearly!$D:$AM, 16, FALSE) / VLOOKUP("industry|NOx|Minor restricted activity days", US_national_yearly!$D:$AM, 10, FALSE), 1)</f>
        <v>0.1352254320720663</v>
      </c>
      <c r="I14" s="7">
        <f>$B14 * IFERROR(VLOOKUP("industry|NOx|Minor restricted activity days", US_national_yearly!$D:$AM, 17, FALSE) / VLOOKUP("industry|NOx|Minor restricted activity days", US_national_yearly!$D:$AM, 10, FALSE), 1)</f>
        <v>0.1359353841892027</v>
      </c>
      <c r="J14" s="7">
        <f>$B14 * IFERROR(VLOOKUP("industry|NOx|Minor restricted activity days", US_national_yearly!$D:$AM, 18, FALSE) / VLOOKUP("industry|NOx|Minor restricted activity days", US_national_yearly!$D:$AM, 10, FALSE), 1)</f>
        <v>0.13664533630633904</v>
      </c>
      <c r="K14" s="7">
        <f>$B14 * IFERROR(VLOOKUP("industry|NOx|Minor restricted activity days", US_national_yearly!$D:$AM, 19, FALSE) / VLOOKUP("industry|NOx|Minor restricted activity days", US_national_yearly!$D:$AM, 10, FALSE), 1)</f>
        <v>0.13735528842347539</v>
      </c>
      <c r="L14" s="7">
        <f>$B14 * IFERROR(VLOOKUP("industry|NOx|Minor restricted activity days", US_national_yearly!$D:$AM, 20, FALSE) / VLOOKUP("industry|NOx|Minor restricted activity days", US_national_yearly!$D:$AM, 10, FALSE), 1)</f>
        <v>0.13806524054061176</v>
      </c>
      <c r="M14" s="7">
        <f>$B14 * IFERROR(VLOOKUP("industry|NOx|Minor restricted activity days", US_national_yearly!$D:$AM, 21, FALSE) / VLOOKUP("industry|NOx|Minor restricted activity days", US_national_yearly!$D:$AM, 10, FALSE), 1)</f>
        <v>0.13877519265774813</v>
      </c>
      <c r="N14" s="7">
        <f>$B14 * IFERROR(VLOOKUP("industry|NOx|Minor restricted activity days", US_national_yearly!$D:$AM, 22, FALSE) / VLOOKUP("industry|NOx|Minor restricted activity days", US_national_yearly!$D:$AM, 10, FALSE), 1)</f>
        <v>0.13979757116819019</v>
      </c>
      <c r="O14" s="7">
        <f>$B14 * IFERROR(VLOOKUP("industry|NOx|Minor restricted activity days", US_national_yearly!$D:$AM, 23, FALSE) / VLOOKUP("industry|NOx|Minor restricted activity days", US_national_yearly!$D:$AM, 10, FALSE), 1)</f>
        <v>0.14081994967863229</v>
      </c>
      <c r="P14" s="7">
        <f>$B14 * IFERROR(VLOOKUP("industry|NOx|Minor restricted activity days", US_national_yearly!$D:$AM, 24, FALSE) / VLOOKUP("industry|NOx|Minor restricted activity days", US_national_yearly!$D:$AM, 10, FALSE), 1)</f>
        <v>0.14184232818907438</v>
      </c>
      <c r="Q14" s="7">
        <f>$B14 * IFERROR(VLOOKUP("industry|NOx|Minor restricted activity days", US_national_yearly!$D:$AM, 25, FALSE) / VLOOKUP("industry|NOx|Minor restricted activity days", US_national_yearly!$D:$AM, 10, FALSE), 1)</f>
        <v>0.14286470669951645</v>
      </c>
      <c r="R14" s="7">
        <f>$B14 * IFERROR(VLOOKUP("industry|NOx|Minor restricted activity days", US_national_yearly!$D:$AM, 26, FALSE) / VLOOKUP("industry|NOx|Minor restricted activity days", US_national_yearly!$D:$AM, 10, FALSE), 1)</f>
        <v>0.14388708520995855</v>
      </c>
      <c r="S14" s="7">
        <f>$B14 * IFERROR(VLOOKUP("industry|NOx|Minor restricted activity days", US_national_yearly!$D:$AM, 27, FALSE) / VLOOKUP("industry|NOx|Minor restricted activity days", US_national_yearly!$D:$AM, 10, FALSE), 1)</f>
        <v>0.14491055831341529</v>
      </c>
      <c r="T14" s="7">
        <f>$B14 * IFERROR(VLOOKUP("industry|NOx|Minor restricted activity days", US_national_yearly!$D:$AM, 28, FALSE) / VLOOKUP("industry|NOx|Minor restricted activity days", US_national_yearly!$D:$AM, 10, FALSE), 1)</f>
        <v>0.14593403141687203</v>
      </c>
      <c r="U14" s="7">
        <f>$B14 * IFERROR(VLOOKUP("industry|NOx|Minor restricted activity days", US_national_yearly!$D:$AM, 29, FALSE) / VLOOKUP("industry|NOx|Minor restricted activity days", US_national_yearly!$D:$AM, 10, FALSE), 1)</f>
        <v>0.14695750452032877</v>
      </c>
      <c r="V14" s="7">
        <f>$B14 * IFERROR(VLOOKUP("industry|NOx|Minor restricted activity days", US_national_yearly!$D:$AM, 30, FALSE) / VLOOKUP("industry|NOx|Minor restricted activity days", US_national_yearly!$D:$AM, 10, FALSE), 1)</f>
        <v>0.14798097762378554</v>
      </c>
      <c r="W14" s="7">
        <f>$B14 * IFERROR(VLOOKUP("industry|NOx|Minor restricted activity days", US_national_yearly!$D:$AM, 31, FALSE) / VLOOKUP("industry|NOx|Minor restricted activity days", US_national_yearly!$D:$AM, 10, FALSE), 1)</f>
        <v>0.14900445072724228</v>
      </c>
      <c r="X14" s="7">
        <f>$B14 * IFERROR(VLOOKUP("industry|NOx|Minor restricted activity days", US_national_yearly!$D:$AM, 32, FALSE) / VLOOKUP("industry|NOx|Minor restricted activity days", US_national_yearly!$D:$AM, 10, FALSE), 1)</f>
        <v>0.14986855413140868</v>
      </c>
      <c r="Y14" s="7">
        <f>$B14 * IFERROR(VLOOKUP("industry|NOx|Minor restricted activity days", US_national_yearly!$D:$AM, 33, FALSE) / VLOOKUP("industry|NOx|Minor restricted activity days", US_national_yearly!$D:$AM, 10, FALSE), 1)</f>
        <v>0.15073265753557505</v>
      </c>
      <c r="Z14" s="7">
        <f>$B14 * IFERROR(VLOOKUP("industry|NOx|Minor restricted activity days", US_national_yearly!$D:$AM, 34, FALSE) / VLOOKUP("industry|NOx|Minor restricted activity days", US_national_yearly!$D:$AM, 10, FALSE), 1)</f>
        <v>0.15159676093974142</v>
      </c>
      <c r="AA14" s="7">
        <f>$B14 * IFERROR(VLOOKUP("industry|NOx|Minor restricted activity days", US_national_yearly!$D:$AM, 35, FALSE) / VLOOKUP("industry|NOx|Minor restricted activity days", US_national_yearly!$D:$AM, 10, FALSE), 1)</f>
        <v>0.15246086434390782</v>
      </c>
      <c r="AB14" s="7">
        <f>$B14 * IFERROR(VLOOKUP("industry|NOx|Minor restricted activity days", US_national_yearly!$D:$AM, 36, FALSE) / VLOOKUP("industry|NOx|Minor restricted activity days", US_national_yearly!$D:$AM, 10, FALSE), 1)</f>
        <v>0.15332496774807422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2.2563422044749683E-2</v>
      </c>
      <c r="C15" s="7">
        <f>$B15 * IFERROR(VLOOKUP("industry|NOx|Work loss days", US_national_yearly!$D:$AM, 11, FALSE) / VLOOKUP("industry|NOx|Work loss days", US_national_yearly!$D:$AM, 10, FALSE), 1)</f>
        <v>2.2612309689636796E-2</v>
      </c>
      <c r="D15" s="7">
        <f>$B15 * IFERROR(VLOOKUP("industry|NOx|Work loss days", US_national_yearly!$D:$AM, 12, FALSE) / VLOOKUP("industry|NOx|Work loss days", US_national_yearly!$D:$AM, 10, FALSE), 1)</f>
        <v>2.2661197334523899E-2</v>
      </c>
      <c r="E15" s="7">
        <f>$B15 * IFERROR(VLOOKUP("industry|NOx|Work loss days", US_national_yearly!$D:$AM, 13, FALSE) / VLOOKUP("industry|NOx|Work loss days", US_national_yearly!$D:$AM, 10, FALSE), 1)</f>
        <v>2.2710084979411013E-2</v>
      </c>
      <c r="F15" s="7">
        <f>$B15 * IFERROR(VLOOKUP("industry|NOx|Work loss days", US_national_yearly!$D:$AM, 14, FALSE) / VLOOKUP("industry|NOx|Work loss days", US_national_yearly!$D:$AM, 10, FALSE), 1)</f>
        <v>2.2758972624298122E-2</v>
      </c>
      <c r="G15" s="7">
        <f>$B15 * IFERROR(VLOOKUP("industry|NOx|Work loss days", US_national_yearly!$D:$AM, 15, FALSE) / VLOOKUP("industry|NOx|Work loss days", US_national_yearly!$D:$AM, 10, FALSE), 1)</f>
        <v>2.2830482987389985E-2</v>
      </c>
      <c r="H15" s="7">
        <f>$B15 * IFERROR(VLOOKUP("industry|NOx|Work loss days", US_national_yearly!$D:$AM, 16, FALSE) / VLOOKUP("industry|NOx|Work loss days", US_national_yearly!$D:$AM, 10, FALSE), 1)</f>
        <v>2.2901993350481847E-2</v>
      </c>
      <c r="I15" s="7">
        <f>$B15 * IFERROR(VLOOKUP("industry|NOx|Work loss days", US_national_yearly!$D:$AM, 17, FALSE) / VLOOKUP("industry|NOx|Work loss days", US_national_yearly!$D:$AM, 10, FALSE), 1)</f>
        <v>2.3018179558724369E-2</v>
      </c>
      <c r="J15" s="7">
        <f>$B15 * IFERROR(VLOOKUP("industry|NOx|Work loss days", US_national_yearly!$D:$AM, 18, FALSE) / VLOOKUP("industry|NOx|Work loss days", US_national_yearly!$D:$AM, 10, FALSE), 1)</f>
        <v>2.3134365766966883E-2</v>
      </c>
      <c r="K15" s="7">
        <f>$B15 * IFERROR(VLOOKUP("industry|NOx|Work loss days", US_national_yearly!$D:$AM, 19, FALSE) / VLOOKUP("industry|NOx|Work loss days", US_national_yearly!$D:$AM, 10, FALSE), 1)</f>
        <v>2.3250551975209404E-2</v>
      </c>
      <c r="L15" s="7">
        <f>$B15 * IFERROR(VLOOKUP("industry|NOx|Work loss days", US_national_yearly!$D:$AM, 20, FALSE) / VLOOKUP("industry|NOx|Work loss days", US_national_yearly!$D:$AM, 10, FALSE), 1)</f>
        <v>2.3366738183451922E-2</v>
      </c>
      <c r="M15" s="7">
        <f>$B15 * IFERROR(VLOOKUP("industry|NOx|Work loss days", US_national_yearly!$D:$AM, 21, FALSE) / VLOOKUP("industry|NOx|Work loss days", US_national_yearly!$D:$AM, 10, FALSE), 1)</f>
        <v>2.3482924391694443E-2</v>
      </c>
      <c r="N15" s="7">
        <f>$B15 * IFERROR(VLOOKUP("industry|NOx|Work loss days", US_national_yearly!$D:$AM, 22, FALSE) / VLOOKUP("industry|NOx|Work loss days", US_national_yearly!$D:$AM, 10, FALSE), 1)</f>
        <v>2.3634869603744134E-2</v>
      </c>
      <c r="O15" s="7">
        <f>$B15 * IFERROR(VLOOKUP("industry|NOx|Work loss days", US_national_yearly!$D:$AM, 23, FALSE) / VLOOKUP("industry|NOx|Work loss days", US_national_yearly!$D:$AM, 10, FALSE), 1)</f>
        <v>2.3786814815793832E-2</v>
      </c>
      <c r="P15" s="7">
        <f>$B15 * IFERROR(VLOOKUP("industry|NOx|Work loss days", US_national_yearly!$D:$AM, 24, FALSE) / VLOOKUP("industry|NOx|Work loss days", US_national_yearly!$D:$AM, 10, FALSE), 1)</f>
        <v>2.3938760027843526E-2</v>
      </c>
      <c r="Q15" s="7">
        <f>$B15 * IFERROR(VLOOKUP("industry|NOx|Work loss days", US_national_yearly!$D:$AM, 25, FALSE) / VLOOKUP("industry|NOx|Work loss days", US_national_yearly!$D:$AM, 10, FALSE), 1)</f>
        <v>2.409070523989322E-2</v>
      </c>
      <c r="R15" s="7">
        <f>$B15 * IFERROR(VLOOKUP("industry|NOx|Work loss days", US_national_yearly!$D:$AM, 26, FALSE) / VLOOKUP("industry|NOx|Work loss days", US_national_yearly!$D:$AM, 10, FALSE), 1)</f>
        <v>2.4242650451942918E-2</v>
      </c>
      <c r="S15" s="7">
        <f>$B15 * IFERROR(VLOOKUP("industry|NOx|Work loss days", US_national_yearly!$D:$AM, 27, FALSE) / VLOOKUP("industry|NOx|Work loss days", US_national_yearly!$D:$AM, 10, FALSE), 1)</f>
        <v>2.4412515995403096E-2</v>
      </c>
      <c r="T15" s="7">
        <f>$B15 * IFERROR(VLOOKUP("industry|NOx|Work loss days", US_national_yearly!$D:$AM, 28, FALSE) / VLOOKUP("industry|NOx|Work loss days", US_national_yearly!$D:$AM, 10, FALSE), 1)</f>
        <v>2.4582381538863277E-2</v>
      </c>
      <c r="U15" s="7">
        <f>$B15 * IFERROR(VLOOKUP("industry|NOx|Work loss days", US_national_yearly!$D:$AM, 29, FALSE) / VLOOKUP("industry|NOx|Work loss days", US_national_yearly!$D:$AM, 10, FALSE), 1)</f>
        <v>2.4752247082323459E-2</v>
      </c>
      <c r="V15" s="7">
        <f>$B15 * IFERROR(VLOOKUP("industry|NOx|Work loss days", US_national_yearly!$D:$AM, 30, FALSE) / VLOOKUP("industry|NOx|Work loss days", US_national_yearly!$D:$AM, 10, FALSE), 1)</f>
        <v>2.4922112625783636E-2</v>
      </c>
      <c r="W15" s="7">
        <f>$B15 * IFERROR(VLOOKUP("industry|NOx|Work loss days", US_national_yearly!$D:$AM, 31, FALSE) / VLOOKUP("industry|NOx|Work loss days", US_national_yearly!$D:$AM, 10, FALSE), 1)</f>
        <v>2.5091978169243818E-2</v>
      </c>
      <c r="X15" s="7">
        <f>$B15 * IFERROR(VLOOKUP("industry|NOx|Work loss days", US_national_yearly!$D:$AM, 32, FALSE) / VLOOKUP("industry|NOx|Work loss days", US_national_yearly!$D:$AM, 10, FALSE), 1)</f>
        <v>2.5239342452255752E-2</v>
      </c>
      <c r="Y15" s="7">
        <f>$B15 * IFERROR(VLOOKUP("industry|NOx|Work loss days", US_national_yearly!$D:$AM, 33, FALSE) / VLOOKUP("industry|NOx|Work loss days", US_national_yearly!$D:$AM, 10, FALSE), 1)</f>
        <v>2.5386706735267682E-2</v>
      </c>
      <c r="Z15" s="7">
        <f>$B15 * IFERROR(VLOOKUP("industry|NOx|Work loss days", US_national_yearly!$D:$AM, 34, FALSE) / VLOOKUP("industry|NOx|Work loss days", US_national_yearly!$D:$AM, 10, FALSE), 1)</f>
        <v>2.5534071018279612E-2</v>
      </c>
      <c r="AA15" s="7">
        <f>$B15 * IFERROR(VLOOKUP("industry|NOx|Work loss days", US_national_yearly!$D:$AM, 35, FALSE) / VLOOKUP("industry|NOx|Work loss days", US_national_yearly!$D:$AM, 10, FALSE), 1)</f>
        <v>2.5681435301291543E-2</v>
      </c>
      <c r="AB15" s="7">
        <f>$B15 * IFERROR(VLOOKUP("industry|NOx|Work loss days", US_national_yearly!$D:$AM, 36, FALSE) / VLOOKUP("industry|NOx|Work loss days", US_national_yearly!$D:$AM, 10, FALSE), 1)</f>
        <v>2.5828799584303473E-2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5.2483367318825881E-5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5.4024419174439757E-5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5.5565471030053633E-5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5.7106522885667509E-5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5.8647574741281398E-5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6.0112227640077669E-5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6.157688053887396E-5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6.2811688910597316E-5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6.4046497282320671E-5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6.5281305654044013E-5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6.6516114025767369E-5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6.7750922397490711E-5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6.8523963251428295E-5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6.9297004105365838E-5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7.0070044959303409E-5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7.0843085813240966E-5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7.1616126667178509E-5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7.1972745616941732E-5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7.2329364566704954E-5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7.2685983516468163E-5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7.3042602466231386E-5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7.3399221415994609E-5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7.3600708630293049E-5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7.3802195844591489E-5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7.4003683058889943E-5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7.420517027318837E-5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7.4406657487486837E-5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1.74145529307544E-3</v>
      </c>
      <c r="C2" s="7">
        <f>$B2 * IFERROR(VLOOKUP("industry|SO2|Premature mortality", US_national_yearly!$D:$AM, 11, FALSE) / VLOOKUP("industry|SO2|Premature mortality", US_national_yearly!$D:$AM, 10, FALSE), 1)</f>
        <v>1.7635315523752218E-3</v>
      </c>
      <c r="D2" s="7">
        <f>$B2 * IFERROR(VLOOKUP("industry|SO2|Premature mortality", US_national_yearly!$D:$AM, 12, FALSE) / VLOOKUP("industry|SO2|Premature mortality", US_national_yearly!$D:$AM, 10, FALSE), 1)</f>
        <v>1.7856078116750033E-3</v>
      </c>
      <c r="E2" s="7">
        <f>$B2 * IFERROR(VLOOKUP("industry|SO2|Premature mortality", US_national_yearly!$D:$AM, 13, FALSE) / VLOOKUP("industry|SO2|Premature mortality", US_national_yearly!$D:$AM, 10, FALSE), 1)</f>
        <v>1.8076840709747848E-3</v>
      </c>
      <c r="F2" s="7">
        <f>$B2 * IFERROR(VLOOKUP("industry|SO2|Premature mortality", US_national_yearly!$D:$AM, 14, FALSE) / VLOOKUP("industry|SO2|Premature mortality", US_national_yearly!$D:$AM, 10, FALSE), 1)</f>
        <v>1.8297603302745665E-3</v>
      </c>
      <c r="G2" s="7">
        <f>$B2 * IFERROR(VLOOKUP("industry|SO2|Premature mortality", US_national_yearly!$D:$AM, 15, FALSE) / VLOOKUP("industry|SO2|Premature mortality", US_national_yearly!$D:$AM, 10, FALSE), 1)</f>
        <v>1.87231151684258E-3</v>
      </c>
      <c r="H2" s="7">
        <f>$B2 * IFERROR(VLOOKUP("industry|SO2|Premature mortality", US_national_yearly!$D:$AM, 16, FALSE) / VLOOKUP("industry|SO2|Premature mortality", US_national_yearly!$D:$AM, 10, FALSE), 1)</f>
        <v>1.9148627034105933E-3</v>
      </c>
      <c r="I2" s="7">
        <f>$B2 * IFERROR(VLOOKUP("industry|SO2|Premature mortality", US_national_yearly!$D:$AM, 17, FALSE) / VLOOKUP("industry|SO2|Premature mortality", US_national_yearly!$D:$AM, 10, FALSE), 1)</f>
        <v>1.9430388537272022E-3</v>
      </c>
      <c r="J2" s="7">
        <f>$B2 * IFERROR(VLOOKUP("industry|SO2|Premature mortality", US_national_yearly!$D:$AM, 18, FALSE) / VLOOKUP("industry|SO2|Premature mortality", US_national_yearly!$D:$AM, 10, FALSE), 1)</f>
        <v>1.9712150040438105E-3</v>
      </c>
      <c r="K2" s="7">
        <f>$B2 * IFERROR(VLOOKUP("industry|SO2|Premature mortality", US_national_yearly!$D:$AM, 19, FALSE) / VLOOKUP("industry|SO2|Premature mortality", US_national_yearly!$D:$AM, 10, FALSE), 1)</f>
        <v>1.9993911543604191E-3</v>
      </c>
      <c r="L2" s="7">
        <f>$B2 * IFERROR(VLOOKUP("industry|SO2|Premature mortality", US_national_yearly!$D:$AM, 20, FALSE) / VLOOKUP("industry|SO2|Premature mortality", US_national_yearly!$D:$AM, 10, FALSE), 1)</f>
        <v>2.027567304677028E-3</v>
      </c>
      <c r="M2" s="7">
        <f>$B2 * IFERROR(VLOOKUP("industry|SO2|Premature mortality", US_national_yearly!$D:$AM, 21, FALSE) / VLOOKUP("industry|SO2|Premature mortality", US_national_yearly!$D:$AM, 10, FALSE), 1)</f>
        <v>2.0557434549936366E-3</v>
      </c>
      <c r="N2" s="7">
        <f>$B2 * IFERROR(VLOOKUP("industry|SO2|Premature mortality", US_national_yearly!$D:$AM, 22, FALSE) / VLOOKUP("industry|SO2|Premature mortality", US_national_yearly!$D:$AM, 10, FALSE), 1)</f>
        <v>2.0777839037410826E-3</v>
      </c>
      <c r="O2" s="7">
        <f>$B2 * IFERROR(VLOOKUP("industry|SO2|Premature mortality", US_national_yearly!$D:$AM, 23, FALSE) / VLOOKUP("industry|SO2|Premature mortality", US_national_yearly!$D:$AM, 10, FALSE), 1)</f>
        <v>2.0998243524885281E-3</v>
      </c>
      <c r="P2" s="7">
        <f>$B2 * IFERROR(VLOOKUP("industry|SO2|Premature mortality", US_national_yearly!$D:$AM, 24, FALSE) / VLOOKUP("industry|SO2|Premature mortality", US_national_yearly!$D:$AM, 10, FALSE), 1)</f>
        <v>2.1218648012359741E-3</v>
      </c>
      <c r="Q2" s="7">
        <f>$B2 * IFERROR(VLOOKUP("industry|SO2|Premature mortality", US_national_yearly!$D:$AM, 25, FALSE) / VLOOKUP("industry|SO2|Premature mortality", US_national_yearly!$D:$AM, 10, FALSE), 1)</f>
        <v>2.1439052499834196E-3</v>
      </c>
      <c r="R2" s="7">
        <f>$B2 * IFERROR(VLOOKUP("industry|SO2|Premature mortality", US_national_yearly!$D:$AM, 26, FALSE) / VLOOKUP("industry|SO2|Premature mortality", US_national_yearly!$D:$AM, 10, FALSE), 1)</f>
        <v>2.1659456987308656E-3</v>
      </c>
      <c r="S2" s="7">
        <f>$B2 * IFERROR(VLOOKUP("industry|SO2|Premature mortality", US_national_yearly!$D:$AM, 27, FALSE) / VLOOKUP("industry|SO2|Premature mortality", US_national_yearly!$D:$AM, 10, FALSE), 1)</f>
        <v>2.1778463268310949E-3</v>
      </c>
      <c r="T2" s="7">
        <f>$B2 * IFERROR(VLOOKUP("industry|SO2|Premature mortality", US_national_yearly!$D:$AM, 28, FALSE) / VLOOKUP("industry|SO2|Premature mortality", US_national_yearly!$D:$AM, 10, FALSE), 1)</f>
        <v>2.1897469549313252E-3</v>
      </c>
      <c r="U2" s="7">
        <f>$B2 * IFERROR(VLOOKUP("industry|SO2|Premature mortality", US_national_yearly!$D:$AM, 29, FALSE) / VLOOKUP("industry|SO2|Premature mortality", US_national_yearly!$D:$AM, 10, FALSE), 1)</f>
        <v>2.2016475830315559E-3</v>
      </c>
      <c r="V2" s="7">
        <f>$B2 * IFERROR(VLOOKUP("industry|SO2|Premature mortality", US_national_yearly!$D:$AM, 30, FALSE) / VLOOKUP("industry|SO2|Premature mortality", US_national_yearly!$D:$AM, 10, FALSE), 1)</f>
        <v>2.2135482111317857E-3</v>
      </c>
      <c r="W2" s="7">
        <f>$B2 * IFERROR(VLOOKUP("industry|SO2|Premature mortality", US_national_yearly!$D:$AM, 31, FALSE) / VLOOKUP("industry|SO2|Premature mortality", US_national_yearly!$D:$AM, 10, FALSE), 1)</f>
        <v>2.225448839232016E-3</v>
      </c>
      <c r="X2" s="7">
        <f>$B2 * IFERROR(VLOOKUP("industry|SO2|Premature mortality", US_national_yearly!$D:$AM, 32, FALSE) / VLOOKUP("industry|SO2|Premature mortality", US_national_yearly!$D:$AM, 10, FALSE), 1)</f>
        <v>2.228010217533845E-3</v>
      </c>
      <c r="Y2" s="7">
        <f>$B2 * IFERROR(VLOOKUP("industry|SO2|Premature mortality", US_national_yearly!$D:$AM, 33, FALSE) / VLOOKUP("industry|SO2|Premature mortality", US_national_yearly!$D:$AM, 10, FALSE), 1)</f>
        <v>2.2305715958356744E-3</v>
      </c>
      <c r="Z2" s="7">
        <f>$B2 * IFERROR(VLOOKUP("industry|SO2|Premature mortality", US_national_yearly!$D:$AM, 34, FALSE) / VLOOKUP("industry|SO2|Premature mortality", US_national_yearly!$D:$AM, 10, FALSE), 1)</f>
        <v>2.2331329741375038E-3</v>
      </c>
      <c r="AA2" s="7">
        <f>$B2 * IFERROR(VLOOKUP("industry|SO2|Premature mortality", US_national_yearly!$D:$AM, 35, FALSE) / VLOOKUP("industry|SO2|Premature mortality", US_national_yearly!$D:$AM, 10, FALSE), 1)</f>
        <v>2.2356943524393328E-3</v>
      </c>
      <c r="AB2" s="7">
        <f>$B2 * IFERROR(VLOOKUP("industry|SO2|Premature mortality", US_national_yearly!$D:$AM, 36, FALSE) / VLOOKUP("industry|SO2|Premature mortality", US_national_yearly!$D:$AM, 10, FALSE), 1)</f>
        <v>2.2382557307411622E-3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4.0510665711378064E-6</v>
      </c>
      <c r="C3" s="7">
        <f>$B3 * IFERROR(VLOOKUP("industry|SO2|Infant mortality", US_national_yearly!$D:$AM, 11, FALSE) / VLOOKUP("industry|SO2|Infant mortality", US_national_yearly!$D:$AM, 10, FALSE), 1)</f>
        <v>4.0162149330211805E-6</v>
      </c>
      <c r="D3" s="7">
        <f>$B3 * IFERROR(VLOOKUP("industry|SO2|Infant mortality", US_national_yearly!$D:$AM, 12, FALSE) / VLOOKUP("industry|SO2|Infant mortality", US_national_yearly!$D:$AM, 10, FALSE), 1)</f>
        <v>3.9813632949045555E-6</v>
      </c>
      <c r="E3" s="7">
        <f>$B3 * IFERROR(VLOOKUP("industry|SO2|Infant mortality", US_national_yearly!$D:$AM, 13, FALSE) / VLOOKUP("industry|SO2|Infant mortality", US_national_yearly!$D:$AM, 10, FALSE), 1)</f>
        <v>3.9465116567879297E-6</v>
      </c>
      <c r="F3" s="7">
        <f>$B3 * IFERROR(VLOOKUP("industry|SO2|Infant mortality", US_national_yearly!$D:$AM, 14, FALSE) / VLOOKUP("industry|SO2|Infant mortality", US_national_yearly!$D:$AM, 10, FALSE), 1)</f>
        <v>3.9116600186713047E-6</v>
      </c>
      <c r="G3" s="7">
        <f>$B3 * IFERROR(VLOOKUP("industry|SO2|Infant mortality", US_national_yearly!$D:$AM, 15, FALSE) / VLOOKUP("industry|SO2|Infant mortality", US_national_yearly!$D:$AM, 10, FALSE), 1)</f>
        <v>2.6039856055892928E-6</v>
      </c>
      <c r="H3" s="7">
        <f>$B3 * IFERROR(VLOOKUP("industry|SO2|Infant mortality", US_national_yearly!$D:$AM, 16, FALSE) / VLOOKUP("industry|SO2|Infant mortality", US_national_yearly!$D:$AM, 10, FALSE), 1)</f>
        <v>1.2963111925072816E-6</v>
      </c>
      <c r="I3" s="7">
        <f>$B3 * IFERROR(VLOOKUP("industry|SO2|Infant mortality", US_national_yearly!$D:$AM, 17, FALSE) / VLOOKUP("industry|SO2|Infant mortality", US_national_yearly!$D:$AM, 10, FALSE), 1)</f>
        <v>1.2880797269981912E-6</v>
      </c>
      <c r="J3" s="7">
        <f>$B3 * IFERROR(VLOOKUP("industry|SO2|Infant mortality", US_national_yearly!$D:$AM, 18, FALSE) / VLOOKUP("industry|SO2|Infant mortality", US_national_yearly!$D:$AM, 10, FALSE), 1)</f>
        <v>1.279848261489101E-6</v>
      </c>
      <c r="K3" s="7">
        <f>$B3 * IFERROR(VLOOKUP("industry|SO2|Infant mortality", US_national_yearly!$D:$AM, 19, FALSE) / VLOOKUP("industry|SO2|Infant mortality", US_national_yearly!$D:$AM, 10, FALSE), 1)</f>
        <v>1.2716167959800106E-6</v>
      </c>
      <c r="L3" s="7">
        <f>$B3 * IFERROR(VLOOKUP("industry|SO2|Infant mortality", US_national_yearly!$D:$AM, 20, FALSE) / VLOOKUP("industry|SO2|Infant mortality", US_national_yearly!$D:$AM, 10, FALSE), 1)</f>
        <v>1.2633853304709202E-6</v>
      </c>
      <c r="M3" s="7">
        <f>$B3 * IFERROR(VLOOKUP("industry|SO2|Infant mortality", US_national_yearly!$D:$AM, 21, FALSE) / VLOOKUP("industry|SO2|Infant mortality", US_national_yearly!$D:$AM, 10, FALSE), 1)</f>
        <v>1.2551538649618298E-6</v>
      </c>
      <c r="N3" s="7">
        <f>$B3 * IFERROR(VLOOKUP("industry|SO2|Infant mortality", US_national_yearly!$D:$AM, 22, FALSE) / VLOOKUP("industry|SO2|Infant mortality", US_national_yearly!$D:$AM, 10, FALSE), 1)</f>
        <v>1.2499367234511742E-6</v>
      </c>
      <c r="O3" s="7">
        <f>$B3 * IFERROR(VLOOKUP("industry|SO2|Infant mortality", US_national_yearly!$D:$AM, 23, FALSE) / VLOOKUP("industry|SO2|Infant mortality", US_national_yearly!$D:$AM, 10, FALSE), 1)</f>
        <v>1.2447195819405184E-6</v>
      </c>
      <c r="P3" s="7">
        <f>$B3 * IFERROR(VLOOKUP("industry|SO2|Infant mortality", US_national_yearly!$D:$AM, 24, FALSE) / VLOOKUP("industry|SO2|Infant mortality", US_national_yearly!$D:$AM, 10, FALSE), 1)</f>
        <v>1.2395024404298628E-6</v>
      </c>
      <c r="Q3" s="7">
        <f>$B3 * IFERROR(VLOOKUP("industry|SO2|Infant mortality", US_national_yearly!$D:$AM, 25, FALSE) / VLOOKUP("industry|SO2|Infant mortality", US_national_yearly!$D:$AM, 10, FALSE), 1)</f>
        <v>1.2342852989192069E-6</v>
      </c>
      <c r="R3" s="7">
        <f>$B3 * IFERROR(VLOOKUP("industry|SO2|Infant mortality", US_national_yearly!$D:$AM, 26, FALSE) / VLOOKUP("industry|SO2|Infant mortality", US_national_yearly!$D:$AM, 10, FALSE), 1)</f>
        <v>1.2290681574085511E-6</v>
      </c>
      <c r="S3" s="7">
        <f>$B3 * IFERROR(VLOOKUP("industry|SO2|Infant mortality", US_national_yearly!$D:$AM, 27, FALSE) / VLOOKUP("industry|SO2|Infant mortality", US_national_yearly!$D:$AM, 10, FALSE), 1)</f>
        <v>1.2225754843140427E-6</v>
      </c>
      <c r="T3" s="7">
        <f>$B3 * IFERROR(VLOOKUP("industry|SO2|Infant mortality", US_national_yearly!$D:$AM, 28, FALSE) / VLOOKUP("industry|SO2|Infant mortality", US_national_yearly!$D:$AM, 10, FALSE), 1)</f>
        <v>1.2160828112195341E-6</v>
      </c>
      <c r="U3" s="7">
        <f>$B3 * IFERROR(VLOOKUP("industry|SO2|Infant mortality", US_national_yearly!$D:$AM, 29, FALSE) / VLOOKUP("industry|SO2|Infant mortality", US_national_yearly!$D:$AM, 10, FALSE), 1)</f>
        <v>1.2095901381250255E-6</v>
      </c>
      <c r="V3" s="7">
        <f>$B3 * IFERROR(VLOOKUP("industry|SO2|Infant mortality", US_national_yearly!$D:$AM, 30, FALSE) / VLOOKUP("industry|SO2|Infant mortality", US_national_yearly!$D:$AM, 10, FALSE), 1)</f>
        <v>1.2030974650305169E-6</v>
      </c>
      <c r="W3" s="7">
        <f>$B3 * IFERROR(VLOOKUP("industry|SO2|Infant mortality", US_national_yearly!$D:$AM, 31, FALSE) / VLOOKUP("industry|SO2|Infant mortality", US_national_yearly!$D:$AM, 10, FALSE), 1)</f>
        <v>1.1966047919360085E-6</v>
      </c>
      <c r="X3" s="7">
        <f>$B3 * IFERROR(VLOOKUP("industry|SO2|Infant mortality", US_national_yearly!$D:$AM, 32, FALSE) / VLOOKUP("industry|SO2|Infant mortality", US_national_yearly!$D:$AM, 10, FALSE), 1)</f>
        <v>1.1895491938328734E-6</v>
      </c>
      <c r="Y3" s="7">
        <f>$B3 * IFERROR(VLOOKUP("industry|SO2|Infant mortality", US_national_yearly!$D:$AM, 33, FALSE) / VLOOKUP("industry|SO2|Infant mortality", US_national_yearly!$D:$AM, 10, FALSE), 1)</f>
        <v>1.1824935957297382E-6</v>
      </c>
      <c r="Z3" s="7">
        <f>$B3 * IFERROR(VLOOKUP("industry|SO2|Infant mortality", US_national_yearly!$D:$AM, 34, FALSE) / VLOOKUP("industry|SO2|Infant mortality", US_national_yearly!$D:$AM, 10, FALSE), 1)</f>
        <v>1.1754379976266031E-6</v>
      </c>
      <c r="AA3" s="7">
        <f>$B3 * IFERROR(VLOOKUP("industry|SO2|Infant mortality", US_national_yearly!$D:$AM, 35, FALSE) / VLOOKUP("industry|SO2|Infant mortality", US_national_yearly!$D:$AM, 10, FALSE), 1)</f>
        <v>1.168382399523468E-6</v>
      </c>
      <c r="AB3" s="7">
        <f>$B3 * IFERROR(VLOOKUP("industry|SO2|Infant mortality", US_national_yearly!$D:$AM, 36, FALSE) / VLOOKUP("industry|SO2|Infant mortality", US_national_yearly!$D:$AM, 10, FALSE), 1)</f>
        <v>1.1613268014203328E-6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3.716123419646633E-3</v>
      </c>
      <c r="C6" s="7">
        <f>$B6 * IFERROR(VLOOKUP("industry|SO2|Asthma symptoms cough", US_national_yearly!$D:$AM, 11, FALSE) / VLOOKUP("industry|SO2|Asthma symptoms cough", US_national_yearly!$D:$AM, 10, FALSE), 1)</f>
        <v>3.716123419646633E-3</v>
      </c>
      <c r="D6" s="7">
        <f>$B6 * IFERROR(VLOOKUP("industry|SO2|Asthma symptoms cough", US_national_yearly!$D:$AM, 12, FALSE) / VLOOKUP("industry|SO2|Asthma symptoms cough", US_national_yearly!$D:$AM, 10, FALSE), 1)</f>
        <v>3.716123419646633E-3</v>
      </c>
      <c r="E6" s="7">
        <f>$B6 * IFERROR(VLOOKUP("industry|SO2|Asthma symptoms cough", US_national_yearly!$D:$AM, 13, FALSE) / VLOOKUP("industry|SO2|Asthma symptoms cough", US_national_yearly!$D:$AM, 10, FALSE), 1)</f>
        <v>3.716123419646633E-3</v>
      </c>
      <c r="F6" s="7">
        <f>$B6 * IFERROR(VLOOKUP("industry|SO2|Asthma symptoms cough", US_national_yearly!$D:$AM, 14, FALSE) / VLOOKUP("industry|SO2|Asthma symptoms cough", US_national_yearly!$D:$AM, 10, FALSE), 1)</f>
        <v>3.716123419646633E-3</v>
      </c>
      <c r="G6" s="7">
        <f>$B6 * IFERROR(VLOOKUP("industry|SO2|Asthma symptoms cough", US_national_yearly!$D:$AM, 15, FALSE) / VLOOKUP("industry|SO2|Asthma symptoms cough", US_national_yearly!$D:$AM, 10, FALSE), 1)</f>
        <v>3.716123419646633E-3</v>
      </c>
      <c r="H6" s="7">
        <f>$B6 * IFERROR(VLOOKUP("industry|SO2|Asthma symptoms cough", US_national_yearly!$D:$AM, 16, FALSE) / VLOOKUP("industry|SO2|Asthma symptoms cough", US_national_yearly!$D:$AM, 10, FALSE), 1)</f>
        <v>3.716123419646633E-3</v>
      </c>
      <c r="I6" s="7">
        <f>$B6 * IFERROR(VLOOKUP("industry|SO2|Asthma symptoms cough", US_national_yearly!$D:$AM, 17, FALSE) / VLOOKUP("industry|SO2|Asthma symptoms cough", US_national_yearly!$D:$AM, 10, FALSE), 1)</f>
        <v>3.716123419646633E-3</v>
      </c>
      <c r="J6" s="7">
        <f>$B6 * IFERROR(VLOOKUP("industry|SO2|Asthma symptoms cough", US_national_yearly!$D:$AM, 18, FALSE) / VLOOKUP("industry|SO2|Asthma symptoms cough", US_national_yearly!$D:$AM, 10, FALSE), 1)</f>
        <v>3.716123419646633E-3</v>
      </c>
      <c r="K6" s="7">
        <f>$B6 * IFERROR(VLOOKUP("industry|SO2|Asthma symptoms cough", US_national_yearly!$D:$AM, 19, FALSE) / VLOOKUP("industry|SO2|Asthma symptoms cough", US_national_yearly!$D:$AM, 10, FALSE), 1)</f>
        <v>3.716123419646633E-3</v>
      </c>
      <c r="L6" s="7">
        <f>$B6 * IFERROR(VLOOKUP("industry|SO2|Asthma symptoms cough", US_national_yearly!$D:$AM, 20, FALSE) / VLOOKUP("industry|SO2|Asthma symptoms cough", US_national_yearly!$D:$AM, 10, FALSE), 1)</f>
        <v>3.716123419646633E-3</v>
      </c>
      <c r="M6" s="7">
        <f>$B6 * IFERROR(VLOOKUP("industry|SO2|Asthma symptoms cough", US_national_yearly!$D:$AM, 21, FALSE) / VLOOKUP("industry|SO2|Asthma symptoms cough", US_national_yearly!$D:$AM, 10, FALSE), 1)</f>
        <v>3.716123419646633E-3</v>
      </c>
      <c r="N6" s="7">
        <f>$B6 * IFERROR(VLOOKUP("industry|SO2|Asthma symptoms cough", US_national_yearly!$D:$AM, 22, FALSE) / VLOOKUP("industry|SO2|Asthma symptoms cough", US_national_yearly!$D:$AM, 10, FALSE), 1)</f>
        <v>3.716123419646633E-3</v>
      </c>
      <c r="O6" s="7">
        <f>$B6 * IFERROR(VLOOKUP("industry|SO2|Asthma symptoms cough", US_national_yearly!$D:$AM, 23, FALSE) / VLOOKUP("industry|SO2|Asthma symptoms cough", US_national_yearly!$D:$AM, 10, FALSE), 1)</f>
        <v>3.716123419646633E-3</v>
      </c>
      <c r="P6" s="7">
        <f>$B6 * IFERROR(VLOOKUP("industry|SO2|Asthma symptoms cough", US_national_yearly!$D:$AM, 24, FALSE) / VLOOKUP("industry|SO2|Asthma symptoms cough", US_national_yearly!$D:$AM, 10, FALSE), 1)</f>
        <v>3.716123419646633E-3</v>
      </c>
      <c r="Q6" s="7">
        <f>$B6 * IFERROR(VLOOKUP("industry|SO2|Asthma symptoms cough", US_national_yearly!$D:$AM, 25, FALSE) / VLOOKUP("industry|SO2|Asthma symptoms cough", US_national_yearly!$D:$AM, 10, FALSE), 1)</f>
        <v>3.716123419646633E-3</v>
      </c>
      <c r="R6" s="7">
        <f>$B6 * IFERROR(VLOOKUP("industry|SO2|Asthma symptoms cough", US_national_yearly!$D:$AM, 26, FALSE) / VLOOKUP("industry|SO2|Asthma symptoms cough", US_national_yearly!$D:$AM, 10, FALSE), 1)</f>
        <v>3.716123419646633E-3</v>
      </c>
      <c r="S6" s="7">
        <f>$B6 * IFERROR(VLOOKUP("industry|SO2|Asthma symptoms cough", US_national_yearly!$D:$AM, 27, FALSE) / VLOOKUP("industry|SO2|Asthma symptoms cough", US_national_yearly!$D:$AM, 10, FALSE), 1)</f>
        <v>3.716123419646633E-3</v>
      </c>
      <c r="T6" s="7">
        <f>$B6 * IFERROR(VLOOKUP("industry|SO2|Asthma symptoms cough", US_national_yearly!$D:$AM, 28, FALSE) / VLOOKUP("industry|SO2|Asthma symptoms cough", US_national_yearly!$D:$AM, 10, FALSE), 1)</f>
        <v>3.716123419646633E-3</v>
      </c>
      <c r="U6" s="7">
        <f>$B6 * IFERROR(VLOOKUP("industry|SO2|Asthma symptoms cough", US_national_yearly!$D:$AM, 29, FALSE) / VLOOKUP("industry|SO2|Asthma symptoms cough", US_national_yearly!$D:$AM, 10, FALSE), 1)</f>
        <v>3.716123419646633E-3</v>
      </c>
      <c r="V6" s="7">
        <f>$B6 * IFERROR(VLOOKUP("industry|SO2|Asthma symptoms cough", US_national_yearly!$D:$AM, 30, FALSE) / VLOOKUP("industry|SO2|Asthma symptoms cough", US_national_yearly!$D:$AM, 10, FALSE), 1)</f>
        <v>3.716123419646633E-3</v>
      </c>
      <c r="W6" s="7">
        <f>$B6 * IFERROR(VLOOKUP("industry|SO2|Asthma symptoms cough", US_national_yearly!$D:$AM, 31, FALSE) / VLOOKUP("industry|SO2|Asthma symptoms cough", US_national_yearly!$D:$AM, 10, FALSE), 1)</f>
        <v>3.716123419646633E-3</v>
      </c>
      <c r="X6" s="7">
        <f>$B6 * IFERROR(VLOOKUP("industry|SO2|Asthma symptoms cough", US_national_yearly!$D:$AM, 32, FALSE) / VLOOKUP("industry|SO2|Asthma symptoms cough", US_national_yearly!$D:$AM, 10, FALSE), 1)</f>
        <v>3.716123419646633E-3</v>
      </c>
      <c r="Y6" s="7">
        <f>$B6 * IFERROR(VLOOKUP("industry|SO2|Asthma symptoms cough", US_national_yearly!$D:$AM, 33, FALSE) / VLOOKUP("industry|SO2|Asthma symptoms cough", US_national_yearly!$D:$AM, 10, FALSE), 1)</f>
        <v>3.716123419646633E-3</v>
      </c>
      <c r="Z6" s="7">
        <f>$B6 * IFERROR(VLOOKUP("industry|SO2|Asthma symptoms cough", US_national_yearly!$D:$AM, 34, FALSE) / VLOOKUP("industry|SO2|Asthma symptoms cough", US_national_yearly!$D:$AM, 10, FALSE), 1)</f>
        <v>3.716123419646633E-3</v>
      </c>
      <c r="AA6" s="7">
        <f>$B6 * IFERROR(VLOOKUP("industry|SO2|Asthma symptoms cough", US_national_yearly!$D:$AM, 35, FALSE) / VLOOKUP("industry|SO2|Asthma symptoms cough", US_national_yearly!$D:$AM, 10, FALSE), 1)</f>
        <v>3.716123419646633E-3</v>
      </c>
      <c r="AB6" s="7">
        <f>$B6 * IFERROR(VLOOKUP("industry|SO2|Asthma symptoms cough", US_national_yearly!$D:$AM, 36, FALSE) / VLOOKUP("industry|SO2|Asthma symptoms cough", US_national_yearly!$D:$AM, 10, FALSE), 1)</f>
        <v>3.716123419646633E-3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5.0042811641641824E-3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5.0042811641641824E-3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5.0042811641641824E-3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5.0042811641641824E-3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5.0042811641641824E-3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5.0042811641641824E-3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5.0042811641641824E-3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5.0042811641641824E-3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5.0042811641641824E-3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5.0042811641641824E-3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5.0042811641641824E-3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5.0042811641641824E-3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5.0042811641641824E-3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5.0042811641641824E-3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5.0042811641641824E-3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5.0042811641641824E-3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5.0042811641641824E-3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5.0042811641641824E-3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5.0042811641641824E-3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5.0042811641641824E-3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5.0042811641641824E-3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5.0042811641641824E-3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5.0042811641641824E-3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5.0042811641641824E-3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5.0042811641641824E-3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5.0042811641641824E-3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5.0042811641641824E-3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7.6457585962140234E-3</v>
      </c>
      <c r="C8" s="7">
        <f>$B8 * IFERROR(VLOOKUP("industry|SO2|Asthma symptoms wheeze", US_national_yearly!$D:$AM, 11, FALSE) / VLOOKUP("industry|SO2|Asthma symptoms wheeze", US_national_yearly!$D:$AM, 10, FALSE), 1)</f>
        <v>7.6457585962140234E-3</v>
      </c>
      <c r="D8" s="7">
        <f>$B8 * IFERROR(VLOOKUP("industry|SO2|Asthma symptoms wheeze", US_national_yearly!$D:$AM, 12, FALSE) / VLOOKUP("industry|SO2|Asthma symptoms wheeze", US_national_yearly!$D:$AM, 10, FALSE), 1)</f>
        <v>7.6457585962140234E-3</v>
      </c>
      <c r="E8" s="7">
        <f>$B8 * IFERROR(VLOOKUP("industry|SO2|Asthma symptoms wheeze", US_national_yearly!$D:$AM, 13, FALSE) / VLOOKUP("industry|SO2|Asthma symptoms wheeze", US_national_yearly!$D:$AM, 10, FALSE), 1)</f>
        <v>7.6457585962140234E-3</v>
      </c>
      <c r="F8" s="7">
        <f>$B8 * IFERROR(VLOOKUP("industry|SO2|Asthma symptoms wheeze", US_national_yearly!$D:$AM, 14, FALSE) / VLOOKUP("industry|SO2|Asthma symptoms wheeze", US_national_yearly!$D:$AM, 10, FALSE), 1)</f>
        <v>7.6457585962140234E-3</v>
      </c>
      <c r="G8" s="7">
        <f>$B8 * IFERROR(VLOOKUP("industry|SO2|Asthma symptoms wheeze", US_national_yearly!$D:$AM, 15, FALSE) / VLOOKUP("industry|SO2|Asthma symptoms wheeze", US_national_yearly!$D:$AM, 10, FALSE), 1)</f>
        <v>7.6457585962140234E-3</v>
      </c>
      <c r="H8" s="7">
        <f>$B8 * IFERROR(VLOOKUP("industry|SO2|Asthma symptoms wheeze", US_national_yearly!$D:$AM, 16, FALSE) / VLOOKUP("industry|SO2|Asthma symptoms wheeze", US_national_yearly!$D:$AM, 10, FALSE), 1)</f>
        <v>7.6457585962140234E-3</v>
      </c>
      <c r="I8" s="7">
        <f>$B8 * IFERROR(VLOOKUP("industry|SO2|Asthma symptoms wheeze", US_national_yearly!$D:$AM, 17, FALSE) / VLOOKUP("industry|SO2|Asthma symptoms wheeze", US_national_yearly!$D:$AM, 10, FALSE), 1)</f>
        <v>7.6457585962140234E-3</v>
      </c>
      <c r="J8" s="7">
        <f>$B8 * IFERROR(VLOOKUP("industry|SO2|Asthma symptoms wheeze", US_national_yearly!$D:$AM, 18, FALSE) / VLOOKUP("industry|SO2|Asthma symptoms wheeze", US_national_yearly!$D:$AM, 10, FALSE), 1)</f>
        <v>7.6457585962140234E-3</v>
      </c>
      <c r="K8" s="7">
        <f>$B8 * IFERROR(VLOOKUP("industry|SO2|Asthma symptoms wheeze", US_national_yearly!$D:$AM, 19, FALSE) / VLOOKUP("industry|SO2|Asthma symptoms wheeze", US_national_yearly!$D:$AM, 10, FALSE), 1)</f>
        <v>7.6457585962140234E-3</v>
      </c>
      <c r="L8" s="7">
        <f>$B8 * IFERROR(VLOOKUP("industry|SO2|Asthma symptoms wheeze", US_national_yearly!$D:$AM, 20, FALSE) / VLOOKUP("industry|SO2|Asthma symptoms wheeze", US_national_yearly!$D:$AM, 10, FALSE), 1)</f>
        <v>7.6457585962140234E-3</v>
      </c>
      <c r="M8" s="7">
        <f>$B8 * IFERROR(VLOOKUP("industry|SO2|Asthma symptoms wheeze", US_national_yearly!$D:$AM, 21, FALSE) / VLOOKUP("industry|SO2|Asthma symptoms wheeze", US_national_yearly!$D:$AM, 10, FALSE), 1)</f>
        <v>7.6457585962140234E-3</v>
      </c>
      <c r="N8" s="7">
        <f>$B8 * IFERROR(VLOOKUP("industry|SO2|Asthma symptoms wheeze", US_national_yearly!$D:$AM, 22, FALSE) / VLOOKUP("industry|SO2|Asthma symptoms wheeze", US_national_yearly!$D:$AM, 10, FALSE), 1)</f>
        <v>7.6457585962140234E-3</v>
      </c>
      <c r="O8" s="7">
        <f>$B8 * IFERROR(VLOOKUP("industry|SO2|Asthma symptoms wheeze", US_national_yearly!$D:$AM, 23, FALSE) / VLOOKUP("industry|SO2|Asthma symptoms wheeze", US_national_yearly!$D:$AM, 10, FALSE), 1)</f>
        <v>7.6457585962140234E-3</v>
      </c>
      <c r="P8" s="7">
        <f>$B8 * IFERROR(VLOOKUP("industry|SO2|Asthma symptoms wheeze", US_national_yearly!$D:$AM, 24, FALSE) / VLOOKUP("industry|SO2|Asthma symptoms wheeze", US_national_yearly!$D:$AM, 10, FALSE), 1)</f>
        <v>7.6457585962140234E-3</v>
      </c>
      <c r="Q8" s="7">
        <f>$B8 * IFERROR(VLOOKUP("industry|SO2|Asthma symptoms wheeze", US_national_yearly!$D:$AM, 25, FALSE) / VLOOKUP("industry|SO2|Asthma symptoms wheeze", US_national_yearly!$D:$AM, 10, FALSE), 1)</f>
        <v>7.6457585962140234E-3</v>
      </c>
      <c r="R8" s="7">
        <f>$B8 * IFERROR(VLOOKUP("industry|SO2|Asthma symptoms wheeze", US_national_yearly!$D:$AM, 26, FALSE) / VLOOKUP("industry|SO2|Asthma symptoms wheeze", US_national_yearly!$D:$AM, 10, FALSE), 1)</f>
        <v>7.6457585962140234E-3</v>
      </c>
      <c r="S8" s="7">
        <f>$B8 * IFERROR(VLOOKUP("industry|SO2|Asthma symptoms wheeze", US_national_yearly!$D:$AM, 27, FALSE) / VLOOKUP("industry|SO2|Asthma symptoms wheeze", US_national_yearly!$D:$AM, 10, FALSE), 1)</f>
        <v>7.6457585962140234E-3</v>
      </c>
      <c r="T8" s="7">
        <f>$B8 * IFERROR(VLOOKUP("industry|SO2|Asthma symptoms wheeze", US_national_yearly!$D:$AM, 28, FALSE) / VLOOKUP("industry|SO2|Asthma symptoms wheeze", US_national_yearly!$D:$AM, 10, FALSE), 1)</f>
        <v>7.6457585962140234E-3</v>
      </c>
      <c r="U8" s="7">
        <f>$B8 * IFERROR(VLOOKUP("industry|SO2|Asthma symptoms wheeze", US_national_yearly!$D:$AM, 29, FALSE) / VLOOKUP("industry|SO2|Asthma symptoms wheeze", US_national_yearly!$D:$AM, 10, FALSE), 1)</f>
        <v>7.6457585962140234E-3</v>
      </c>
      <c r="V8" s="7">
        <f>$B8 * IFERROR(VLOOKUP("industry|SO2|Asthma symptoms wheeze", US_national_yearly!$D:$AM, 30, FALSE) / VLOOKUP("industry|SO2|Asthma symptoms wheeze", US_national_yearly!$D:$AM, 10, FALSE), 1)</f>
        <v>7.6457585962140234E-3</v>
      </c>
      <c r="W8" s="7">
        <f>$B8 * IFERROR(VLOOKUP("industry|SO2|Asthma symptoms wheeze", US_national_yearly!$D:$AM, 31, FALSE) / VLOOKUP("industry|SO2|Asthma symptoms wheeze", US_national_yearly!$D:$AM, 10, FALSE), 1)</f>
        <v>7.6457585962140234E-3</v>
      </c>
      <c r="X8" s="7">
        <f>$B8 * IFERROR(VLOOKUP("industry|SO2|Asthma symptoms wheeze", US_national_yearly!$D:$AM, 32, FALSE) / VLOOKUP("industry|SO2|Asthma symptoms wheeze", US_national_yearly!$D:$AM, 10, FALSE), 1)</f>
        <v>7.6457585962140234E-3</v>
      </c>
      <c r="Y8" s="7">
        <f>$B8 * IFERROR(VLOOKUP("industry|SO2|Asthma symptoms wheeze", US_national_yearly!$D:$AM, 33, FALSE) / VLOOKUP("industry|SO2|Asthma symptoms wheeze", US_national_yearly!$D:$AM, 10, FALSE), 1)</f>
        <v>7.6457585962140234E-3</v>
      </c>
      <c r="Z8" s="7">
        <f>$B8 * IFERROR(VLOOKUP("industry|SO2|Asthma symptoms wheeze", US_national_yearly!$D:$AM, 34, FALSE) / VLOOKUP("industry|SO2|Asthma symptoms wheeze", US_national_yearly!$D:$AM, 10, FALSE), 1)</f>
        <v>7.6457585962140234E-3</v>
      </c>
      <c r="AA8" s="7">
        <f>$B8 * IFERROR(VLOOKUP("industry|SO2|Asthma symptoms wheeze", US_national_yearly!$D:$AM, 35, FALSE) / VLOOKUP("industry|SO2|Asthma symptoms wheeze", US_national_yearly!$D:$AM, 10, FALSE), 1)</f>
        <v>7.6457585962140234E-3</v>
      </c>
      <c r="AB8" s="7">
        <f>$B8 * IFERROR(VLOOKUP("industry|SO2|Asthma symptoms wheeze", US_national_yearly!$D:$AM, 36, FALSE) / VLOOKUP("industry|SO2|Asthma symptoms wheeze", US_national_yearly!$D:$AM, 10, FALSE), 1)</f>
        <v>7.6457585962140234E-3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1.1250299994055291E-4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1.1316205274617444E-4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1.1382110555179598E-4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1.144801583574175E-4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1.1513921116303905E-4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1.1585770620977864E-4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1.1657620125651822E-4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1.1728188120485514E-4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1.1798756115319208E-4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1.1869324110152898E-4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1.1939892104986592E-4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1.2010460099820285E-4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1.2061524094135677E-4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1.2112588088451071E-4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1.2163652082766461E-4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1.2214716077081853E-4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1.2265780071397245E-4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1.2314308592478238E-4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1.2362837113559231E-4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1.2411365634640225E-4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1.2459894155721218E-4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1.2508422676802211E-4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1.25545060894107E-4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1.2600589502019191E-4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1.2646672914627677E-4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1.2692756327236165E-4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1.2738839739844657E-4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6.8579064365043409E-4</v>
      </c>
      <c r="C13" s="7">
        <f>$B13 * IFERROR(VLOOKUP("industry|SO2|Non-fatal heart attacks", US_national_yearly!$D:$AM, 11, FALSE) / VLOOKUP("industry|SO2|Non-fatal heart attacks", US_national_yearly!$D:$AM, 10, FALSE), 1)</f>
        <v>7.0592288527730122E-4</v>
      </c>
      <c r="D13" s="7">
        <f>$B13 * IFERROR(VLOOKUP("industry|SO2|Non-fatal heart attacks", US_national_yearly!$D:$AM, 12, FALSE) / VLOOKUP("industry|SO2|Non-fatal heart attacks", US_national_yearly!$D:$AM, 10, FALSE), 1)</f>
        <v>7.2605512690416835E-4</v>
      </c>
      <c r="E13" s="7">
        <f>$B13 * IFERROR(VLOOKUP("industry|SO2|Non-fatal heart attacks", US_national_yearly!$D:$AM, 13, FALSE) / VLOOKUP("industry|SO2|Non-fatal heart attacks", US_national_yearly!$D:$AM, 10, FALSE), 1)</f>
        <v>7.4618736853103527E-4</v>
      </c>
      <c r="F13" s="7">
        <f>$B13 * IFERROR(VLOOKUP("industry|SO2|Non-fatal heart attacks", US_national_yearly!$D:$AM, 14, FALSE) / VLOOKUP("industry|SO2|Non-fatal heart attacks", US_national_yearly!$D:$AM, 10, FALSE), 1)</f>
        <v>7.6631961015790251E-4</v>
      </c>
      <c r="G13" s="7">
        <f>$B13 * IFERROR(VLOOKUP("industry|SO2|Non-fatal heart attacks", US_national_yearly!$D:$AM, 15, FALSE) / VLOOKUP("industry|SO2|Non-fatal heart attacks", US_national_yearly!$D:$AM, 10, FALSE), 1)</f>
        <v>7.853188064457032E-4</v>
      </c>
      <c r="H13" s="7">
        <f>$B13 * IFERROR(VLOOKUP("industry|SO2|Non-fatal heart attacks", US_national_yearly!$D:$AM, 16, FALSE) / VLOOKUP("industry|SO2|Non-fatal heart attacks", US_national_yearly!$D:$AM, 10, FALSE), 1)</f>
        <v>8.0431800273350401E-4</v>
      </c>
      <c r="I13" s="7">
        <f>$B13 * IFERROR(VLOOKUP("industry|SO2|Non-fatal heart attacks", US_national_yearly!$D:$AM, 17, FALSE) / VLOOKUP("industry|SO2|Non-fatal heart attacks", US_national_yearly!$D:$AM, 10, FALSE), 1)</f>
        <v>8.1963464358924816E-4</v>
      </c>
      <c r="J13" s="7">
        <f>$B13 * IFERROR(VLOOKUP("industry|SO2|Non-fatal heart attacks", US_national_yearly!$D:$AM, 18, FALSE) / VLOOKUP("industry|SO2|Non-fatal heart attacks", US_national_yearly!$D:$AM, 10, FALSE), 1)</f>
        <v>8.3495128444499274E-4</v>
      </c>
      <c r="K13" s="7">
        <f>$B13 * IFERROR(VLOOKUP("industry|SO2|Non-fatal heart attacks", US_national_yearly!$D:$AM, 19, FALSE) / VLOOKUP("industry|SO2|Non-fatal heart attacks", US_national_yearly!$D:$AM, 10, FALSE), 1)</f>
        <v>8.50267925300737E-4</v>
      </c>
      <c r="L13" s="7">
        <f>$B13 * IFERROR(VLOOKUP("industry|SO2|Non-fatal heart attacks", US_national_yearly!$D:$AM, 20, FALSE) / VLOOKUP("industry|SO2|Non-fatal heart attacks", US_national_yearly!$D:$AM, 10, FALSE), 1)</f>
        <v>8.6558456615648137E-4</v>
      </c>
      <c r="M13" s="7">
        <f>$B13 * IFERROR(VLOOKUP("industry|SO2|Non-fatal heart attacks", US_national_yearly!$D:$AM, 21, FALSE) / VLOOKUP("industry|SO2|Non-fatal heart attacks", US_national_yearly!$D:$AM, 10, FALSE), 1)</f>
        <v>8.8090120701222574E-4</v>
      </c>
      <c r="N13" s="7">
        <f>$B13 * IFERROR(VLOOKUP("industry|SO2|Non-fatal heart attacks", US_national_yearly!$D:$AM, 22, FALSE) / VLOOKUP("industry|SO2|Non-fatal heart attacks", US_national_yearly!$D:$AM, 10, FALSE), 1)</f>
        <v>8.9085171292024282E-4</v>
      </c>
      <c r="O13" s="7">
        <f>$B13 * IFERROR(VLOOKUP("industry|SO2|Non-fatal heart attacks", US_national_yearly!$D:$AM, 23, FALSE) / VLOOKUP("industry|SO2|Non-fatal heart attacks", US_national_yearly!$D:$AM, 10, FALSE), 1)</f>
        <v>9.0080221882826012E-4</v>
      </c>
      <c r="P13" s="7">
        <f>$B13 * IFERROR(VLOOKUP("industry|SO2|Non-fatal heart attacks", US_national_yearly!$D:$AM, 24, FALSE) / VLOOKUP("industry|SO2|Non-fatal heart attacks", US_national_yearly!$D:$AM, 10, FALSE), 1)</f>
        <v>9.1075272473627709E-4</v>
      </c>
      <c r="Q13" s="7">
        <f>$B13 * IFERROR(VLOOKUP("industry|SO2|Non-fatal heart attacks", US_national_yearly!$D:$AM, 25, FALSE) / VLOOKUP("industry|SO2|Non-fatal heart attacks", US_national_yearly!$D:$AM, 10, FALSE), 1)</f>
        <v>9.2070323064429407E-4</v>
      </c>
      <c r="R13" s="7">
        <f>$B13 * IFERROR(VLOOKUP("industry|SO2|Non-fatal heart attacks", US_national_yearly!$D:$AM, 26, FALSE) / VLOOKUP("industry|SO2|Non-fatal heart attacks", US_national_yearly!$D:$AM, 10, FALSE), 1)</f>
        <v>9.3065373655231126E-4</v>
      </c>
      <c r="S13" s="7">
        <f>$B13 * IFERROR(VLOOKUP("industry|SO2|Non-fatal heart attacks", US_national_yearly!$D:$AM, 27, FALSE) / VLOOKUP("industry|SO2|Non-fatal heart attacks", US_national_yearly!$D:$AM, 10, FALSE), 1)</f>
        <v>9.3587988855716624E-4</v>
      </c>
      <c r="T13" s="7">
        <f>$B13 * IFERROR(VLOOKUP("industry|SO2|Non-fatal heart attacks", US_national_yearly!$D:$AM, 28, FALSE) / VLOOKUP("industry|SO2|Non-fatal heart attacks", US_national_yearly!$D:$AM, 10, FALSE), 1)</f>
        <v>9.4110604056202134E-4</v>
      </c>
      <c r="U13" s="7">
        <f>$B13 * IFERROR(VLOOKUP("industry|SO2|Non-fatal heart attacks", US_national_yearly!$D:$AM, 29, FALSE) / VLOOKUP("industry|SO2|Non-fatal heart attacks", US_national_yearly!$D:$AM, 10, FALSE), 1)</f>
        <v>9.4633219256687632E-4</v>
      </c>
      <c r="V13" s="7">
        <f>$B13 * IFERROR(VLOOKUP("industry|SO2|Non-fatal heart attacks", US_national_yearly!$D:$AM, 30, FALSE) / VLOOKUP("industry|SO2|Non-fatal heart attacks", US_national_yearly!$D:$AM, 10, FALSE), 1)</f>
        <v>9.5155834457173142E-4</v>
      </c>
      <c r="W13" s="7">
        <f>$B13 * IFERROR(VLOOKUP("industry|SO2|Non-fatal heart attacks", US_national_yearly!$D:$AM, 31, FALSE) / VLOOKUP("industry|SO2|Non-fatal heart attacks", US_national_yearly!$D:$AM, 10, FALSE), 1)</f>
        <v>9.567844965765864E-4</v>
      </c>
      <c r="X13" s="7">
        <f>$B13 * IFERROR(VLOOKUP("industry|SO2|Non-fatal heart attacks", US_national_yearly!$D:$AM, 32, FALSE) / VLOOKUP("industry|SO2|Non-fatal heart attacks", US_national_yearly!$D:$AM, 10, FALSE), 1)</f>
        <v>9.6075360821269305E-4</v>
      </c>
      <c r="Y13" s="7">
        <f>$B13 * IFERROR(VLOOKUP("industry|SO2|Non-fatal heart attacks", US_national_yearly!$D:$AM, 33, FALSE) / VLOOKUP("industry|SO2|Non-fatal heart attacks", US_national_yearly!$D:$AM, 10, FALSE), 1)</f>
        <v>9.6472271984879971E-4</v>
      </c>
      <c r="Z13" s="7">
        <f>$B13 * IFERROR(VLOOKUP("industry|SO2|Non-fatal heart attacks", US_national_yearly!$D:$AM, 34, FALSE) / VLOOKUP("industry|SO2|Non-fatal heart attacks", US_national_yearly!$D:$AM, 10, FALSE), 1)</f>
        <v>9.6869183148490636E-4</v>
      </c>
      <c r="AA13" s="7">
        <f>$B13 * IFERROR(VLOOKUP("industry|SO2|Non-fatal heart attacks", US_national_yearly!$D:$AM, 35, FALSE) / VLOOKUP("industry|SO2|Non-fatal heart attacks", US_national_yearly!$D:$AM, 10, FALSE), 1)</f>
        <v>9.7266094312101312E-4</v>
      </c>
      <c r="AB13" s="7">
        <f>$B13 * IFERROR(VLOOKUP("industry|SO2|Non-fatal heart attacks", US_national_yearly!$D:$AM, 36, FALSE) / VLOOKUP("industry|SO2|Non-fatal heart attacks", US_national_yearly!$D:$AM, 10, FALSE), 1)</f>
        <v>9.7663005475711966E-4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0.46428707962968074</v>
      </c>
      <c r="C14" s="7">
        <f>$B14 * IFERROR(VLOOKUP("industry|SO2|Minor restricted activity days", US_national_yearly!$D:$AM, 11, FALSE) / VLOOKUP("industry|SO2|Minor restricted activity days", US_national_yearly!$D:$AM, 10, FALSE), 1)</f>
        <v>0.46544844224476056</v>
      </c>
      <c r="D14" s="7">
        <f>$B14 * IFERROR(VLOOKUP("industry|SO2|Minor restricted activity days", US_national_yearly!$D:$AM, 12, FALSE) / VLOOKUP("industry|SO2|Minor restricted activity days", US_national_yearly!$D:$AM, 10, FALSE), 1)</f>
        <v>0.46660980485984033</v>
      </c>
      <c r="E14" s="7">
        <f>$B14 * IFERROR(VLOOKUP("industry|SO2|Minor restricted activity days", US_national_yearly!$D:$AM, 13, FALSE) / VLOOKUP("industry|SO2|Minor restricted activity days", US_national_yearly!$D:$AM, 10, FALSE), 1)</f>
        <v>0.46777116747492015</v>
      </c>
      <c r="F14" s="7">
        <f>$B14 * IFERROR(VLOOKUP("industry|SO2|Minor restricted activity days", US_national_yearly!$D:$AM, 14, FALSE) / VLOOKUP("industry|SO2|Minor restricted activity days", US_national_yearly!$D:$AM, 10, FALSE), 1)</f>
        <v>0.46893253008999997</v>
      </c>
      <c r="G14" s="7">
        <f>$B14 * IFERROR(VLOOKUP("industry|SO2|Minor restricted activity days", US_national_yearly!$D:$AM, 15, FALSE) / VLOOKUP("industry|SO2|Minor restricted activity days", US_national_yearly!$D:$AM, 10, FALSE), 1)</f>
        <v>0.47064100515987473</v>
      </c>
      <c r="H14" s="7">
        <f>$B14 * IFERROR(VLOOKUP("industry|SO2|Minor restricted activity days", US_national_yearly!$D:$AM, 16, FALSE) / VLOOKUP("industry|SO2|Minor restricted activity days", US_national_yearly!$D:$AM, 10, FALSE), 1)</f>
        <v>0.47234948022974943</v>
      </c>
      <c r="I14" s="7">
        <f>$B14 * IFERROR(VLOOKUP("industry|SO2|Minor restricted activity days", US_national_yearly!$D:$AM, 17, FALSE) / VLOOKUP("industry|SO2|Minor restricted activity days", US_national_yearly!$D:$AM, 10, FALSE), 1)</f>
        <v>0.47526294699863086</v>
      </c>
      <c r="J14" s="7">
        <f>$B14 * IFERROR(VLOOKUP("industry|SO2|Minor restricted activity days", US_national_yearly!$D:$AM, 18, FALSE) / VLOOKUP("industry|SO2|Minor restricted activity days", US_national_yearly!$D:$AM, 10, FALSE), 1)</f>
        <v>0.4781764137675123</v>
      </c>
      <c r="K14" s="7">
        <f>$B14 * IFERROR(VLOOKUP("industry|SO2|Minor restricted activity days", US_national_yearly!$D:$AM, 19, FALSE) / VLOOKUP("industry|SO2|Minor restricted activity days", US_national_yearly!$D:$AM, 10, FALSE), 1)</f>
        <v>0.48108988053639373</v>
      </c>
      <c r="L14" s="7">
        <f>$B14 * IFERROR(VLOOKUP("industry|SO2|Minor restricted activity days", US_national_yearly!$D:$AM, 20, FALSE) / VLOOKUP("industry|SO2|Minor restricted activity days", US_national_yearly!$D:$AM, 10, FALSE), 1)</f>
        <v>0.48400334730527517</v>
      </c>
      <c r="M14" s="7">
        <f>$B14 * IFERROR(VLOOKUP("industry|SO2|Minor restricted activity days", US_national_yearly!$D:$AM, 21, FALSE) / VLOOKUP("industry|SO2|Minor restricted activity days", US_national_yearly!$D:$AM, 10, FALSE), 1)</f>
        <v>0.4869168140741566</v>
      </c>
      <c r="N14" s="7">
        <f>$B14 * IFERROR(VLOOKUP("industry|SO2|Minor restricted activity days", US_national_yearly!$D:$AM, 22, FALSE) / VLOOKUP("industry|SO2|Minor restricted activity days", US_national_yearly!$D:$AM, 10, FALSE), 1)</f>
        <v>0.49091152740883703</v>
      </c>
      <c r="O14" s="7">
        <f>$B14 * IFERROR(VLOOKUP("industry|SO2|Minor restricted activity days", US_national_yearly!$D:$AM, 23, FALSE) / VLOOKUP("industry|SO2|Minor restricted activity days", US_national_yearly!$D:$AM, 10, FALSE), 1)</f>
        <v>0.49490624074351741</v>
      </c>
      <c r="P14" s="7">
        <f>$B14 * IFERROR(VLOOKUP("industry|SO2|Minor restricted activity days", US_national_yearly!$D:$AM, 24, FALSE) / VLOOKUP("industry|SO2|Minor restricted activity days", US_national_yearly!$D:$AM, 10, FALSE), 1)</f>
        <v>0.49890095407819779</v>
      </c>
      <c r="Q14" s="7">
        <f>$B14 * IFERROR(VLOOKUP("industry|SO2|Minor restricted activity days", US_national_yearly!$D:$AM, 25, FALSE) / VLOOKUP("industry|SO2|Minor restricted activity days", US_national_yearly!$D:$AM, 10, FALSE), 1)</f>
        <v>0.50289566741287828</v>
      </c>
      <c r="R14" s="7">
        <f>$B14 * IFERROR(VLOOKUP("industry|SO2|Minor restricted activity days", US_national_yearly!$D:$AM, 26, FALSE) / VLOOKUP("industry|SO2|Minor restricted activity days", US_national_yearly!$D:$AM, 10, FALSE), 1)</f>
        <v>0.50689038074755866</v>
      </c>
      <c r="S14" s="7">
        <f>$B14 * IFERROR(VLOOKUP("industry|SO2|Minor restricted activity days", US_national_yearly!$D:$AM, 27, FALSE) / VLOOKUP("industry|SO2|Minor restricted activity days", US_national_yearly!$D:$AM, 10, FALSE), 1)</f>
        <v>0.51096730832657467</v>
      </c>
      <c r="T14" s="7">
        <f>$B14 * IFERROR(VLOOKUP("industry|SO2|Minor restricted activity days", US_national_yearly!$D:$AM, 28, FALSE) / VLOOKUP("industry|SO2|Minor restricted activity days", US_national_yearly!$D:$AM, 10, FALSE), 1)</f>
        <v>0.51504423590559079</v>
      </c>
      <c r="U14" s="7">
        <f>$B14 * IFERROR(VLOOKUP("industry|SO2|Minor restricted activity days", US_national_yearly!$D:$AM, 29, FALSE) / VLOOKUP("industry|SO2|Minor restricted activity days", US_national_yearly!$D:$AM, 10, FALSE), 1)</f>
        <v>0.5191211634846068</v>
      </c>
      <c r="V14" s="7">
        <f>$B14 * IFERROR(VLOOKUP("industry|SO2|Minor restricted activity days", US_national_yearly!$D:$AM, 30, FALSE) / VLOOKUP("industry|SO2|Minor restricted activity days", US_national_yearly!$D:$AM, 10, FALSE), 1)</f>
        <v>0.52319809106362292</v>
      </c>
      <c r="W14" s="7">
        <f>$B14 * IFERROR(VLOOKUP("industry|SO2|Minor restricted activity days", US_national_yearly!$D:$AM, 31, FALSE) / VLOOKUP("industry|SO2|Minor restricted activity days", US_national_yearly!$D:$AM, 10, FALSE), 1)</f>
        <v>0.52727501864263893</v>
      </c>
      <c r="X14" s="7">
        <f>$B14 * IFERROR(VLOOKUP("industry|SO2|Minor restricted activity days", US_national_yearly!$D:$AM, 32, FALSE) / VLOOKUP("industry|SO2|Minor restricted activity days", US_national_yearly!$D:$AM, 10, FALSE), 1)</f>
        <v>0.53085982888541949</v>
      </c>
      <c r="Y14" s="7">
        <f>$B14 * IFERROR(VLOOKUP("industry|SO2|Minor restricted activity days", US_national_yearly!$D:$AM, 33, FALSE) / VLOOKUP("industry|SO2|Minor restricted activity days", US_national_yearly!$D:$AM, 10, FALSE), 1)</f>
        <v>0.53444463912819984</v>
      </c>
      <c r="Z14" s="7">
        <f>$B14 * IFERROR(VLOOKUP("industry|SO2|Minor restricted activity days", US_national_yearly!$D:$AM, 34, FALSE) / VLOOKUP("industry|SO2|Minor restricted activity days", US_national_yearly!$D:$AM, 10, FALSE), 1)</f>
        <v>0.53802944937098029</v>
      </c>
      <c r="AA14" s="7">
        <f>$B14 * IFERROR(VLOOKUP("industry|SO2|Minor restricted activity days", US_national_yearly!$D:$AM, 35, FALSE) / VLOOKUP("industry|SO2|Minor restricted activity days", US_national_yearly!$D:$AM, 10, FALSE), 1)</f>
        <v>0.54161425961376064</v>
      </c>
      <c r="AB14" s="7">
        <f>$B14 * IFERROR(VLOOKUP("industry|SO2|Minor restricted activity days", US_national_yearly!$D:$AM, 36, FALSE) / VLOOKUP("industry|SO2|Minor restricted activity days", US_national_yearly!$D:$AM, 10, FALSE), 1)</f>
        <v>0.54519906985654121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7.8327854602412345E-2</v>
      </c>
      <c r="C15" s="7">
        <f>$B15 * IFERROR(VLOOKUP("industry|SO2|Work loss days", US_national_yearly!$D:$AM, 11, FALSE) / VLOOKUP("industry|SO2|Work loss days", US_national_yearly!$D:$AM, 10, FALSE), 1)</f>
        <v>7.8579748133577806E-2</v>
      </c>
      <c r="D15" s="7">
        <f>$B15 * IFERROR(VLOOKUP("industry|SO2|Work loss days", US_national_yearly!$D:$AM, 12, FALSE) / VLOOKUP("industry|SO2|Work loss days", US_national_yearly!$D:$AM, 10, FALSE), 1)</f>
        <v>7.8831641664743296E-2</v>
      </c>
      <c r="E15" s="7">
        <f>$B15 * IFERROR(VLOOKUP("industry|SO2|Work loss days", US_national_yearly!$D:$AM, 13, FALSE) / VLOOKUP("industry|SO2|Work loss days", US_national_yearly!$D:$AM, 10, FALSE), 1)</f>
        <v>7.9083535195908758E-2</v>
      </c>
      <c r="F15" s="7">
        <f>$B15 * IFERROR(VLOOKUP("industry|SO2|Work loss days", US_national_yearly!$D:$AM, 14, FALSE) / VLOOKUP("industry|SO2|Work loss days", US_national_yearly!$D:$AM, 10, FALSE), 1)</f>
        <v>7.9335428727074261E-2</v>
      </c>
      <c r="G15" s="7">
        <f>$B15 * IFERROR(VLOOKUP("industry|SO2|Work loss days", US_national_yearly!$D:$AM, 15, FALSE) / VLOOKUP("industry|SO2|Work loss days", US_national_yearly!$D:$AM, 10, FALSE), 1)</f>
        <v>7.9664217856501879E-2</v>
      </c>
      <c r="H15" s="7">
        <f>$B15 * IFERROR(VLOOKUP("industry|SO2|Work loss days", US_national_yearly!$D:$AM, 16, FALSE) / VLOOKUP("industry|SO2|Work loss days", US_national_yearly!$D:$AM, 10, FALSE), 1)</f>
        <v>7.9993006985929524E-2</v>
      </c>
      <c r="I15" s="7">
        <f>$B15 * IFERROR(VLOOKUP("industry|SO2|Work loss days", US_national_yearly!$D:$AM, 17, FALSE) / VLOOKUP("industry|SO2|Work loss days", US_national_yearly!$D:$AM, 10, FALSE), 1)</f>
        <v>8.0473604045022129E-2</v>
      </c>
      <c r="J15" s="7">
        <f>$B15 * IFERROR(VLOOKUP("industry|SO2|Work loss days", US_national_yearly!$D:$AM, 18, FALSE) / VLOOKUP("industry|SO2|Work loss days", US_national_yearly!$D:$AM, 10, FALSE), 1)</f>
        <v>8.095420110411472E-2</v>
      </c>
      <c r="K15" s="7">
        <f>$B15 * IFERROR(VLOOKUP("industry|SO2|Work loss days", US_national_yearly!$D:$AM, 19, FALSE) / VLOOKUP("industry|SO2|Work loss days", US_national_yearly!$D:$AM, 10, FALSE), 1)</f>
        <v>8.1434798163207311E-2</v>
      </c>
      <c r="L15" s="7">
        <f>$B15 * IFERROR(VLOOKUP("industry|SO2|Work loss days", US_national_yearly!$D:$AM, 20, FALSE) / VLOOKUP("industry|SO2|Work loss days", US_national_yearly!$D:$AM, 10, FALSE), 1)</f>
        <v>8.1915395222299917E-2</v>
      </c>
      <c r="M15" s="7">
        <f>$B15 * IFERROR(VLOOKUP("industry|SO2|Work loss days", US_national_yearly!$D:$AM, 21, FALSE) / VLOOKUP("industry|SO2|Work loss days", US_national_yearly!$D:$AM, 10, FALSE), 1)</f>
        <v>8.2395992281392508E-2</v>
      </c>
      <c r="N15" s="7">
        <f>$B15 * IFERROR(VLOOKUP("industry|SO2|Work loss days", US_national_yearly!$D:$AM, 22, FALSE) / VLOOKUP("industry|SO2|Work loss days", US_national_yearly!$D:$AM, 10, FALSE), 1)</f>
        <v>8.3000032031493601E-2</v>
      </c>
      <c r="O15" s="7">
        <f>$B15 * IFERROR(VLOOKUP("industry|SO2|Work loss days", US_national_yearly!$D:$AM, 23, FALSE) / VLOOKUP("industry|SO2|Work loss days", US_national_yearly!$D:$AM, 10, FALSE), 1)</f>
        <v>8.360407178159468E-2</v>
      </c>
      <c r="P15" s="7">
        <f>$B15 * IFERROR(VLOOKUP("industry|SO2|Work loss days", US_national_yearly!$D:$AM, 24, FALSE) / VLOOKUP("industry|SO2|Work loss days", US_national_yearly!$D:$AM, 10, FALSE), 1)</f>
        <v>8.4208111531695773E-2</v>
      </c>
      <c r="Q15" s="7">
        <f>$B15 * IFERROR(VLOOKUP("industry|SO2|Work loss days", US_national_yearly!$D:$AM, 25, FALSE) / VLOOKUP("industry|SO2|Work loss days", US_national_yearly!$D:$AM, 10, FALSE), 1)</f>
        <v>8.4812151281796852E-2</v>
      </c>
      <c r="R15" s="7">
        <f>$B15 * IFERROR(VLOOKUP("industry|SO2|Work loss days", US_national_yearly!$D:$AM, 26, FALSE) / VLOOKUP("industry|SO2|Work loss days", US_national_yearly!$D:$AM, 10, FALSE), 1)</f>
        <v>8.5416191031897945E-2</v>
      </c>
      <c r="S15" s="7">
        <f>$B15 * IFERROR(VLOOKUP("industry|SO2|Work loss days", US_national_yearly!$D:$AM, 27, FALSE) / VLOOKUP("industry|SO2|Work loss days", US_national_yearly!$D:$AM, 10, FALSE), 1)</f>
        <v>8.6092086618200656E-2</v>
      </c>
      <c r="T15" s="7">
        <f>$B15 * IFERROR(VLOOKUP("industry|SO2|Work loss days", US_national_yearly!$D:$AM, 28, FALSE) / VLOOKUP("industry|SO2|Work loss days", US_national_yearly!$D:$AM, 10, FALSE), 1)</f>
        <v>8.676798220450338E-2</v>
      </c>
      <c r="U15" s="7">
        <f>$B15 * IFERROR(VLOOKUP("industry|SO2|Work loss days", US_national_yearly!$D:$AM, 29, FALSE) / VLOOKUP("industry|SO2|Work loss days", US_national_yearly!$D:$AM, 10, FALSE), 1)</f>
        <v>8.7443877790806132E-2</v>
      </c>
      <c r="V15" s="7">
        <f>$B15 * IFERROR(VLOOKUP("industry|SO2|Work loss days", US_national_yearly!$D:$AM, 30, FALSE) / VLOOKUP("industry|SO2|Work loss days", US_national_yearly!$D:$AM, 10, FALSE), 1)</f>
        <v>8.8119773377108843E-2</v>
      </c>
      <c r="W15" s="7">
        <f>$B15 * IFERROR(VLOOKUP("industry|SO2|Work loss days", US_national_yearly!$D:$AM, 31, FALSE) / VLOOKUP("industry|SO2|Work loss days", US_national_yearly!$D:$AM, 10, FALSE), 1)</f>
        <v>8.8795668963411567E-2</v>
      </c>
      <c r="X15" s="7">
        <f>$B15 * IFERROR(VLOOKUP("industry|SO2|Work loss days", US_national_yearly!$D:$AM, 32, FALSE) / VLOOKUP("industry|SO2|Work loss days", US_national_yearly!$D:$AM, 10, FALSE), 1)</f>
        <v>8.9402740057969665E-2</v>
      </c>
      <c r="Y15" s="7">
        <f>$B15 * IFERROR(VLOOKUP("industry|SO2|Work loss days", US_national_yearly!$D:$AM, 33, FALSE) / VLOOKUP("industry|SO2|Work loss days", US_national_yearly!$D:$AM, 10, FALSE), 1)</f>
        <v>9.0009811152527791E-2</v>
      </c>
      <c r="Z15" s="7">
        <f>$B15 * IFERROR(VLOOKUP("industry|SO2|Work loss days", US_national_yearly!$D:$AM, 34, FALSE) / VLOOKUP("industry|SO2|Work loss days", US_national_yearly!$D:$AM, 10, FALSE), 1)</f>
        <v>9.0616882247085875E-2</v>
      </c>
      <c r="AA15" s="7">
        <f>$B15 * IFERROR(VLOOKUP("industry|SO2|Work loss days", US_national_yearly!$D:$AM, 35, FALSE) / VLOOKUP("industry|SO2|Work loss days", US_national_yearly!$D:$AM, 10, FALSE), 1)</f>
        <v>9.1223953341644001E-2</v>
      </c>
      <c r="AB15" s="7">
        <f>$B15 * IFERROR(VLOOKUP("industry|SO2|Work loss days", US_national_yearly!$D:$AM, 36, FALSE) / VLOOKUP("industry|SO2|Work loss days", US_national_yearly!$D:$AM, 10, FALSE), 1)</f>
        <v>9.1831024436202113E-2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1.8588263255629801E-4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1.9150320224572924E-4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1.9712377193516049E-4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2.0274434162459174E-4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2.08364911314023E-4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2.1375144436481465E-4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2.1913797741560627E-4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2.2375981139087492E-4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2.283816453661436E-4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2.3300347934141231E-4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2.3762531331668099E-4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2.4224714729194965E-4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2.4535234589131397E-4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2.4845754449067829E-4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2.5156274309004256E-4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2.5466794168940688E-4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2.577731402887712E-4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2.5941504892450625E-4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2.6105695756024135E-4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2.6269886619597639E-4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2.6434077483171155E-4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2.6598268346744659E-4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2.6709304903645294E-4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2.6820341460545924E-4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2.6931378017446564E-4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2.7042414574347199E-4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2.7153451131247834E-4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4.7425914893644763E-4</v>
      </c>
      <c r="C2" s="7">
        <f>$B2 * IFERROR(VLOOKUP("LULUCF|PM25|Premature mortality", US_national_yearly!$D:$AM, 11, FALSE) / VLOOKUP("LULUCF|PM25|Premature mortality", US_national_yearly!$D:$AM, 10, FALSE), 1)</f>
        <v>4.8013892305091079E-4</v>
      </c>
      <c r="D2" s="7">
        <f>$B2 * IFERROR(VLOOKUP("LULUCF|PM25|Premature mortality", US_national_yearly!$D:$AM, 12, FALSE) / VLOOKUP("LULUCF|PM25|Premature mortality", US_national_yearly!$D:$AM, 10, FALSE), 1)</f>
        <v>4.8601869716537389E-4</v>
      </c>
      <c r="E2" s="7">
        <f>$B2 * IFERROR(VLOOKUP("LULUCF|PM25|Premature mortality", US_national_yearly!$D:$AM, 13, FALSE) / VLOOKUP("LULUCF|PM25|Premature mortality", US_national_yearly!$D:$AM, 10, FALSE), 1)</f>
        <v>4.9189847127983693E-4</v>
      </c>
      <c r="F2" s="7">
        <f>$B2 * IFERROR(VLOOKUP("LULUCF|PM25|Premature mortality", US_national_yearly!$D:$AM, 14, FALSE) / VLOOKUP("LULUCF|PM25|Premature mortality", US_national_yearly!$D:$AM, 10, FALSE), 1)</f>
        <v>4.9777824539429998E-4</v>
      </c>
      <c r="G2" s="7">
        <f>$B2 * IFERROR(VLOOKUP("LULUCF|PM25|Premature mortality", US_national_yearly!$D:$AM, 15, FALSE) / VLOOKUP("LULUCF|PM25|Premature mortality", US_national_yearly!$D:$AM, 10, FALSE), 1)</f>
        <v>5.0922906113801017E-4</v>
      </c>
      <c r="H2" s="7">
        <f>$B2 * IFERROR(VLOOKUP("LULUCF|PM25|Premature mortality", US_national_yearly!$D:$AM, 16, FALSE) / VLOOKUP("LULUCF|PM25|Premature mortality", US_national_yearly!$D:$AM, 10, FALSE), 1)</f>
        <v>5.2067987688172036E-4</v>
      </c>
      <c r="I2" s="7">
        <f>$B2 * IFERROR(VLOOKUP("LULUCF|PM25|Premature mortality", US_national_yearly!$D:$AM, 17, FALSE) / VLOOKUP("LULUCF|PM25|Premature mortality", US_national_yearly!$D:$AM, 10, FALSE), 1)</f>
        <v>5.282012546858288E-4</v>
      </c>
      <c r="J2" s="7">
        <f>$B2 * IFERROR(VLOOKUP("LULUCF|PM25|Premature mortality", US_national_yearly!$D:$AM, 18, FALSE) / VLOOKUP("LULUCF|PM25|Premature mortality", US_national_yearly!$D:$AM, 10, FALSE), 1)</f>
        <v>5.3572263248993746E-4</v>
      </c>
      <c r="K2" s="7">
        <f>$B2 * IFERROR(VLOOKUP("LULUCF|PM25|Premature mortality", US_national_yearly!$D:$AM, 19, FALSE) / VLOOKUP("LULUCF|PM25|Premature mortality", US_national_yearly!$D:$AM, 10, FALSE), 1)</f>
        <v>5.4324401029404591E-4</v>
      </c>
      <c r="L2" s="7">
        <f>$B2 * IFERROR(VLOOKUP("LULUCF|PM25|Premature mortality", US_national_yearly!$D:$AM, 20, FALSE) / VLOOKUP("LULUCF|PM25|Premature mortality", US_national_yearly!$D:$AM, 10, FALSE), 1)</f>
        <v>5.5076538809815457E-4</v>
      </c>
      <c r="M2" s="7">
        <f>$B2 * IFERROR(VLOOKUP("LULUCF|PM25|Premature mortality", US_national_yearly!$D:$AM, 21, FALSE) / VLOOKUP("LULUCF|PM25|Premature mortality", US_national_yearly!$D:$AM, 10, FALSE), 1)</f>
        <v>5.5828676590226301E-4</v>
      </c>
      <c r="N2" s="7">
        <f>$B2 * IFERROR(VLOOKUP("LULUCF|PM25|Premature mortality", US_national_yearly!$D:$AM, 22, FALSE) / VLOOKUP("LULUCF|PM25|Premature mortality", US_national_yearly!$D:$AM, 10, FALSE), 1)</f>
        <v>5.6412663707628785E-4</v>
      </c>
      <c r="O2" s="7">
        <f>$B2 * IFERROR(VLOOKUP("LULUCF|PM25|Premature mortality", US_national_yearly!$D:$AM, 23, FALSE) / VLOOKUP("LULUCF|PM25|Premature mortality", US_national_yearly!$D:$AM, 10, FALSE), 1)</f>
        <v>5.6996650825031281E-4</v>
      </c>
      <c r="P2" s="7">
        <f>$B2 * IFERROR(VLOOKUP("LULUCF|PM25|Premature mortality", US_national_yearly!$D:$AM, 24, FALSE) / VLOOKUP("LULUCF|PM25|Premature mortality", US_national_yearly!$D:$AM, 10, FALSE), 1)</f>
        <v>5.7580637942433765E-4</v>
      </c>
      <c r="Q2" s="7">
        <f>$B2 * IFERROR(VLOOKUP("LULUCF|PM25|Premature mortality", US_national_yearly!$D:$AM, 25, FALSE) / VLOOKUP("LULUCF|PM25|Premature mortality", US_national_yearly!$D:$AM, 10, FALSE), 1)</f>
        <v>5.816462505983626E-4</v>
      </c>
      <c r="R2" s="7">
        <f>$B2 * IFERROR(VLOOKUP("LULUCF|PM25|Premature mortality", US_national_yearly!$D:$AM, 26, FALSE) / VLOOKUP("LULUCF|PM25|Premature mortality", US_national_yearly!$D:$AM, 10, FALSE), 1)</f>
        <v>5.8748612177238755E-4</v>
      </c>
      <c r="S2" s="7">
        <f>$B2 * IFERROR(VLOOKUP("LULUCF|PM25|Premature mortality", US_national_yearly!$D:$AM, 27, FALSE) / VLOOKUP("LULUCF|PM25|Premature mortality", US_national_yearly!$D:$AM, 10, FALSE), 1)</f>
        <v>5.9057991201203017E-4</v>
      </c>
      <c r="T2" s="7">
        <f>$B2 * IFERROR(VLOOKUP("LULUCF|PM25|Premature mortality", US_national_yearly!$D:$AM, 28, FALSE) / VLOOKUP("LULUCF|PM25|Premature mortality", US_national_yearly!$D:$AM, 10, FALSE), 1)</f>
        <v>5.9367370225167279E-4</v>
      </c>
      <c r="U2" s="7">
        <f>$B2 * IFERROR(VLOOKUP("LULUCF|PM25|Premature mortality", US_national_yearly!$D:$AM, 29, FALSE) / VLOOKUP("LULUCF|PM25|Premature mortality", US_national_yearly!$D:$AM, 10, FALSE), 1)</f>
        <v>5.9676749249131531E-4</v>
      </c>
      <c r="V2" s="7">
        <f>$B2 * IFERROR(VLOOKUP("LULUCF|PM25|Premature mortality", US_national_yearly!$D:$AM, 30, FALSE) / VLOOKUP("LULUCF|PM25|Premature mortality", US_national_yearly!$D:$AM, 10, FALSE), 1)</f>
        <v>5.9986128273095793E-4</v>
      </c>
      <c r="W2" s="7">
        <f>$B2 * IFERROR(VLOOKUP("LULUCF|PM25|Premature mortality", US_national_yearly!$D:$AM, 31, FALSE) / VLOOKUP("LULUCF|PM25|Premature mortality", US_national_yearly!$D:$AM, 10, FALSE), 1)</f>
        <v>6.0295507297060044E-4</v>
      </c>
      <c r="X2" s="7">
        <f>$B2 * IFERROR(VLOOKUP("LULUCF|PM25|Premature mortality", US_national_yearly!$D:$AM, 32, FALSE) / VLOOKUP("LULUCF|PM25|Premature mortality", US_national_yearly!$D:$AM, 10, FALSE), 1)</f>
        <v>6.0349604612612736E-4</v>
      </c>
      <c r="Y2" s="7">
        <f>$B2 * IFERROR(VLOOKUP("LULUCF|PM25|Premature mortality", US_national_yearly!$D:$AM, 33, FALSE) / VLOOKUP("LULUCF|PM25|Premature mortality", US_national_yearly!$D:$AM, 10, FALSE), 1)</f>
        <v>6.0403701928165437E-4</v>
      </c>
      <c r="Z2" s="7">
        <f>$B2 * IFERROR(VLOOKUP("LULUCF|PM25|Premature mortality", US_national_yearly!$D:$AM, 34, FALSE) / VLOOKUP("LULUCF|PM25|Premature mortality", US_national_yearly!$D:$AM, 10, FALSE), 1)</f>
        <v>6.0457799243718129E-4</v>
      </c>
      <c r="AA2" s="7">
        <f>$B2 * IFERROR(VLOOKUP("LULUCF|PM25|Premature mortality", US_national_yearly!$D:$AM, 35, FALSE) / VLOOKUP("LULUCF|PM25|Premature mortality", US_national_yearly!$D:$AM, 10, FALSE), 1)</f>
        <v>6.051189655927082E-4</v>
      </c>
      <c r="AB2" s="7">
        <f>$B2 * IFERROR(VLOOKUP("LULUCF|PM25|Premature mortality", US_national_yearly!$D:$AM, 36, FALSE) / VLOOKUP("LULUCF|PM25|Premature mortality", US_national_yearly!$D:$AM, 10, FALSE), 1)</f>
        <v>6.0565993874823511E-4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1.1907420423165211E-6</v>
      </c>
      <c r="C3" s="7">
        <f>$B3 * IFERROR(VLOOKUP("LULUCF|PM25|Infant mortality", US_national_yearly!$D:$AM, 11, FALSE) / VLOOKUP("LULUCF|PM25|Infant mortality", US_national_yearly!$D:$AM, 10, FALSE), 1)</f>
        <v>1.1803598582673795E-6</v>
      </c>
      <c r="D3" s="7">
        <f>$B3 * IFERROR(VLOOKUP("LULUCF|PM25|Infant mortality", US_national_yearly!$D:$AM, 12, FALSE) / VLOOKUP("LULUCF|PM25|Infant mortality", US_national_yearly!$D:$AM, 10, FALSE), 1)</f>
        <v>1.1699776742182378E-6</v>
      </c>
      <c r="E3" s="7">
        <f>$B3 * IFERROR(VLOOKUP("LULUCF|PM25|Infant mortality", US_national_yearly!$D:$AM, 13, FALSE) / VLOOKUP("LULUCF|PM25|Infant mortality", US_national_yearly!$D:$AM, 10, FALSE), 1)</f>
        <v>1.159595490169096E-6</v>
      </c>
      <c r="F3" s="7">
        <f>$B3 * IFERROR(VLOOKUP("LULUCF|PM25|Infant mortality", US_national_yearly!$D:$AM, 14, FALSE) / VLOOKUP("LULUCF|PM25|Infant mortality", US_national_yearly!$D:$AM, 10, FALSE), 1)</f>
        <v>1.1492133061199542E-6</v>
      </c>
      <c r="G3" s="7">
        <f>$B3 * IFERROR(VLOOKUP("LULUCF|PM25|Infant mortality", US_national_yearly!$D:$AM, 15, FALSE) / VLOOKUP("LULUCF|PM25|Infant mortality", US_national_yearly!$D:$AM, 10, FALSE), 1)</f>
        <v>7.6428832223747153E-7</v>
      </c>
      <c r="H3" s="7">
        <f>$B3 * IFERROR(VLOOKUP("LULUCF|PM25|Infant mortality", US_national_yearly!$D:$AM, 16, FALSE) / VLOOKUP("LULUCF|PM25|Infant mortality", US_national_yearly!$D:$AM, 10, FALSE), 1)</f>
        <v>3.7936333835498872E-7</v>
      </c>
      <c r="I3" s="7">
        <f>$B3 * IFERROR(VLOOKUP("LULUCF|PM25|Infant mortality", US_national_yearly!$D:$AM, 17, FALSE) / VLOOKUP("LULUCF|PM25|Infant mortality", US_national_yearly!$D:$AM, 10, FALSE), 1)</f>
        <v>3.7688357228648884E-7</v>
      </c>
      <c r="J3" s="7">
        <f>$B3 * IFERROR(VLOOKUP("LULUCF|PM25|Infant mortality", US_national_yearly!$D:$AM, 18, FALSE) / VLOOKUP("LULUCF|PM25|Infant mortality", US_national_yearly!$D:$AM, 10, FALSE), 1)</f>
        <v>3.7440380621798886E-7</v>
      </c>
      <c r="K3" s="7">
        <f>$B3 * IFERROR(VLOOKUP("LULUCF|PM25|Infant mortality", US_national_yearly!$D:$AM, 19, FALSE) / VLOOKUP("LULUCF|PM25|Infant mortality", US_national_yearly!$D:$AM, 10, FALSE), 1)</f>
        <v>3.7192404014948888E-7</v>
      </c>
      <c r="L3" s="7">
        <f>$B3 * IFERROR(VLOOKUP("LULUCF|PM25|Infant mortality", US_national_yearly!$D:$AM, 20, FALSE) / VLOOKUP("LULUCF|PM25|Infant mortality", US_national_yearly!$D:$AM, 10, FALSE), 1)</f>
        <v>3.69444274080989E-7</v>
      </c>
      <c r="M3" s="7">
        <f>$B3 * IFERROR(VLOOKUP("LULUCF|PM25|Infant mortality", US_national_yearly!$D:$AM, 21, FALSE) / VLOOKUP("LULUCF|PM25|Infant mortality", US_national_yearly!$D:$AM, 10, FALSE), 1)</f>
        <v>3.6696450801248907E-7</v>
      </c>
      <c r="N3" s="7">
        <f>$B3 * IFERROR(VLOOKUP("LULUCF|PM25|Infant mortality", US_national_yearly!$D:$AM, 22, FALSE) / VLOOKUP("LULUCF|PM25|Infant mortality", US_national_yearly!$D:$AM, 10, FALSE), 1)</f>
        <v>3.6540694038455482E-7</v>
      </c>
      <c r="O3" s="7">
        <f>$B3 * IFERROR(VLOOKUP("LULUCF|PM25|Infant mortality", US_national_yearly!$D:$AM, 23, FALSE) / VLOOKUP("LULUCF|PM25|Infant mortality", US_national_yearly!$D:$AM, 10, FALSE), 1)</f>
        <v>3.6384937275662061E-7</v>
      </c>
      <c r="P3" s="7">
        <f>$B3 * IFERROR(VLOOKUP("LULUCF|PM25|Infant mortality", US_national_yearly!$D:$AM, 24, FALSE) / VLOOKUP("LULUCF|PM25|Infant mortality", US_national_yearly!$D:$AM, 10, FALSE), 1)</f>
        <v>3.6229180512868631E-7</v>
      </c>
      <c r="Q3" s="7">
        <f>$B3 * IFERROR(VLOOKUP("LULUCF|PM25|Infant mortality", US_national_yearly!$D:$AM, 25, FALSE) / VLOOKUP("LULUCF|PM25|Infant mortality", US_national_yearly!$D:$AM, 10, FALSE), 1)</f>
        <v>3.6073423750075211E-7</v>
      </c>
      <c r="R3" s="7">
        <f>$B3 * IFERROR(VLOOKUP("LULUCF|PM25|Infant mortality", US_national_yearly!$D:$AM, 26, FALSE) / VLOOKUP("LULUCF|PM25|Infant mortality", US_national_yearly!$D:$AM, 10, FALSE), 1)</f>
        <v>3.5917666987281785E-7</v>
      </c>
      <c r="S3" s="7">
        <f>$B3 * IFERROR(VLOOKUP("LULUCF|PM25|Infant mortality", US_national_yearly!$D:$AM, 27, FALSE) / VLOOKUP("LULUCF|PM25|Infant mortality", US_national_yearly!$D:$AM, 10, FALSE), 1)</f>
        <v>3.5723512997763765E-7</v>
      </c>
      <c r="T3" s="7">
        <f>$B3 * IFERROR(VLOOKUP("LULUCF|PM25|Infant mortality", US_national_yearly!$D:$AM, 28, FALSE) / VLOOKUP("LULUCF|PM25|Infant mortality", US_national_yearly!$D:$AM, 10, FALSE), 1)</f>
        <v>3.5529359008245744E-7</v>
      </c>
      <c r="U3" s="7">
        <f>$B3 * IFERROR(VLOOKUP("LULUCF|PM25|Infant mortality", US_national_yearly!$D:$AM, 29, FALSE) / VLOOKUP("LULUCF|PM25|Infant mortality", US_national_yearly!$D:$AM, 10, FALSE), 1)</f>
        <v>3.5335205018727729E-7</v>
      </c>
      <c r="V3" s="7">
        <f>$B3 * IFERROR(VLOOKUP("LULUCF|PM25|Infant mortality", US_national_yearly!$D:$AM, 30, FALSE) / VLOOKUP("LULUCF|PM25|Infant mortality", US_national_yearly!$D:$AM, 10, FALSE), 1)</f>
        <v>3.5141051029209708E-7</v>
      </c>
      <c r="W3" s="7">
        <f>$B3 * IFERROR(VLOOKUP("LULUCF|PM25|Infant mortality", US_national_yearly!$D:$AM, 31, FALSE) / VLOOKUP("LULUCF|PM25|Infant mortality", US_national_yearly!$D:$AM, 10, FALSE), 1)</f>
        <v>3.4946897039691687E-7</v>
      </c>
      <c r="X3" s="7">
        <f>$B3 * IFERROR(VLOOKUP("LULUCF|PM25|Infant mortality", US_national_yearly!$D:$AM, 32, FALSE) / VLOOKUP("LULUCF|PM25|Infant mortality", US_national_yearly!$D:$AM, 10, FALSE), 1)</f>
        <v>3.473757463639491E-7</v>
      </c>
      <c r="Y3" s="7">
        <f>$B3 * IFERROR(VLOOKUP("LULUCF|PM25|Infant mortality", US_national_yearly!$D:$AM, 33, FALSE) / VLOOKUP("LULUCF|PM25|Infant mortality", US_national_yearly!$D:$AM, 10, FALSE), 1)</f>
        <v>3.4528252233098116E-7</v>
      </c>
      <c r="Z3" s="7">
        <f>$B3 * IFERROR(VLOOKUP("LULUCF|PM25|Infant mortality", US_national_yearly!$D:$AM, 34, FALSE) / VLOOKUP("LULUCF|PM25|Infant mortality", US_national_yearly!$D:$AM, 10, FALSE), 1)</f>
        <v>3.4318929829801339E-7</v>
      </c>
      <c r="AA3" s="7">
        <f>$B3 * IFERROR(VLOOKUP("LULUCF|PM25|Infant mortality", US_national_yearly!$D:$AM, 35, FALSE) / VLOOKUP("LULUCF|PM25|Infant mortality", US_national_yearly!$D:$AM, 10, FALSE), 1)</f>
        <v>3.4109607426504556E-7</v>
      </c>
      <c r="AB3" s="7">
        <f>$B3 * IFERROR(VLOOKUP("LULUCF|PM25|Infant mortality", US_national_yearly!$D:$AM, 36, FALSE) / VLOOKUP("LULUCF|PM25|Infant mortality", US_national_yearly!$D:$AM, 10, FALSE), 1)</f>
        <v>3.3900285023207778E-7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1.0666121697491808E-3</v>
      </c>
      <c r="C6" s="7">
        <f>$B6 * IFERROR(VLOOKUP("LULUCF|PM25|Asthma symptoms cough", US_national_yearly!$D:$AM, 11, FALSE) / VLOOKUP("LULUCF|PM25|Asthma symptoms cough", US_national_yearly!$D:$AM, 10, FALSE), 1)</f>
        <v>1.0666121697491808E-3</v>
      </c>
      <c r="D6" s="7">
        <f>$B6 * IFERROR(VLOOKUP("LULUCF|PM25|Asthma symptoms cough", US_national_yearly!$D:$AM, 12, FALSE) / VLOOKUP("LULUCF|PM25|Asthma symptoms cough", US_national_yearly!$D:$AM, 10, FALSE), 1)</f>
        <v>1.0666121697491808E-3</v>
      </c>
      <c r="E6" s="7">
        <f>$B6 * IFERROR(VLOOKUP("LULUCF|PM25|Asthma symptoms cough", US_national_yearly!$D:$AM, 13, FALSE) / VLOOKUP("LULUCF|PM25|Asthma symptoms cough", US_national_yearly!$D:$AM, 10, FALSE), 1)</f>
        <v>1.0666121697491808E-3</v>
      </c>
      <c r="F6" s="7">
        <f>$B6 * IFERROR(VLOOKUP("LULUCF|PM25|Asthma symptoms cough", US_national_yearly!$D:$AM, 14, FALSE) / VLOOKUP("LULUCF|PM25|Asthma symptoms cough", US_national_yearly!$D:$AM, 10, FALSE), 1)</f>
        <v>1.0666121697491808E-3</v>
      </c>
      <c r="G6" s="7">
        <f>$B6 * IFERROR(VLOOKUP("LULUCF|PM25|Asthma symptoms cough", US_national_yearly!$D:$AM, 15, FALSE) / VLOOKUP("LULUCF|PM25|Asthma symptoms cough", US_national_yearly!$D:$AM, 10, FALSE), 1)</f>
        <v>1.0666121697491808E-3</v>
      </c>
      <c r="H6" s="7">
        <f>$B6 * IFERROR(VLOOKUP("LULUCF|PM25|Asthma symptoms cough", US_national_yearly!$D:$AM, 16, FALSE) / VLOOKUP("LULUCF|PM25|Asthma symptoms cough", US_national_yearly!$D:$AM, 10, FALSE), 1)</f>
        <v>1.0666121697491808E-3</v>
      </c>
      <c r="I6" s="7">
        <f>$B6 * IFERROR(VLOOKUP("LULUCF|PM25|Asthma symptoms cough", US_national_yearly!$D:$AM, 17, FALSE) / VLOOKUP("LULUCF|PM25|Asthma symptoms cough", US_national_yearly!$D:$AM, 10, FALSE), 1)</f>
        <v>1.0666121697491808E-3</v>
      </c>
      <c r="J6" s="7">
        <f>$B6 * IFERROR(VLOOKUP("LULUCF|PM25|Asthma symptoms cough", US_national_yearly!$D:$AM, 18, FALSE) / VLOOKUP("LULUCF|PM25|Asthma symptoms cough", US_national_yearly!$D:$AM, 10, FALSE), 1)</f>
        <v>1.0666121697491808E-3</v>
      </c>
      <c r="K6" s="7">
        <f>$B6 * IFERROR(VLOOKUP("LULUCF|PM25|Asthma symptoms cough", US_national_yearly!$D:$AM, 19, FALSE) / VLOOKUP("LULUCF|PM25|Asthma symptoms cough", US_national_yearly!$D:$AM, 10, FALSE), 1)</f>
        <v>1.0666121697491808E-3</v>
      </c>
      <c r="L6" s="7">
        <f>$B6 * IFERROR(VLOOKUP("LULUCF|PM25|Asthma symptoms cough", US_national_yearly!$D:$AM, 20, FALSE) / VLOOKUP("LULUCF|PM25|Asthma symptoms cough", US_national_yearly!$D:$AM, 10, FALSE), 1)</f>
        <v>1.0666121697491808E-3</v>
      </c>
      <c r="M6" s="7">
        <f>$B6 * IFERROR(VLOOKUP("LULUCF|PM25|Asthma symptoms cough", US_national_yearly!$D:$AM, 21, FALSE) / VLOOKUP("LULUCF|PM25|Asthma symptoms cough", US_national_yearly!$D:$AM, 10, FALSE), 1)</f>
        <v>1.0666121697491808E-3</v>
      </c>
      <c r="N6" s="7">
        <f>$B6 * IFERROR(VLOOKUP("LULUCF|PM25|Asthma symptoms cough", US_national_yearly!$D:$AM, 22, FALSE) / VLOOKUP("LULUCF|PM25|Asthma symptoms cough", US_national_yearly!$D:$AM, 10, FALSE), 1)</f>
        <v>1.0666121697491808E-3</v>
      </c>
      <c r="O6" s="7">
        <f>$B6 * IFERROR(VLOOKUP("LULUCF|PM25|Asthma symptoms cough", US_national_yearly!$D:$AM, 23, FALSE) / VLOOKUP("LULUCF|PM25|Asthma symptoms cough", US_national_yearly!$D:$AM, 10, FALSE), 1)</f>
        <v>1.0666121697491808E-3</v>
      </c>
      <c r="P6" s="7">
        <f>$B6 * IFERROR(VLOOKUP("LULUCF|PM25|Asthma symptoms cough", US_national_yearly!$D:$AM, 24, FALSE) / VLOOKUP("LULUCF|PM25|Asthma symptoms cough", US_national_yearly!$D:$AM, 10, FALSE), 1)</f>
        <v>1.0666121697491808E-3</v>
      </c>
      <c r="Q6" s="7">
        <f>$B6 * IFERROR(VLOOKUP("LULUCF|PM25|Asthma symptoms cough", US_national_yearly!$D:$AM, 25, FALSE) / VLOOKUP("LULUCF|PM25|Asthma symptoms cough", US_national_yearly!$D:$AM, 10, FALSE), 1)</f>
        <v>1.0666121697491808E-3</v>
      </c>
      <c r="R6" s="7">
        <f>$B6 * IFERROR(VLOOKUP("LULUCF|PM25|Asthma symptoms cough", US_national_yearly!$D:$AM, 26, FALSE) / VLOOKUP("LULUCF|PM25|Asthma symptoms cough", US_national_yearly!$D:$AM, 10, FALSE), 1)</f>
        <v>1.0666121697491808E-3</v>
      </c>
      <c r="S6" s="7">
        <f>$B6 * IFERROR(VLOOKUP("LULUCF|PM25|Asthma symptoms cough", US_national_yearly!$D:$AM, 27, FALSE) / VLOOKUP("LULUCF|PM25|Asthma symptoms cough", US_national_yearly!$D:$AM, 10, FALSE), 1)</f>
        <v>1.0666121697491808E-3</v>
      </c>
      <c r="T6" s="7">
        <f>$B6 * IFERROR(VLOOKUP("LULUCF|PM25|Asthma symptoms cough", US_national_yearly!$D:$AM, 28, FALSE) / VLOOKUP("LULUCF|PM25|Asthma symptoms cough", US_national_yearly!$D:$AM, 10, FALSE), 1)</f>
        <v>1.0666121697491808E-3</v>
      </c>
      <c r="U6" s="7">
        <f>$B6 * IFERROR(VLOOKUP("LULUCF|PM25|Asthma symptoms cough", US_national_yearly!$D:$AM, 29, FALSE) / VLOOKUP("LULUCF|PM25|Asthma symptoms cough", US_national_yearly!$D:$AM, 10, FALSE), 1)</f>
        <v>1.0666121697491808E-3</v>
      </c>
      <c r="V6" s="7">
        <f>$B6 * IFERROR(VLOOKUP("LULUCF|PM25|Asthma symptoms cough", US_national_yearly!$D:$AM, 30, FALSE) / VLOOKUP("LULUCF|PM25|Asthma symptoms cough", US_national_yearly!$D:$AM, 10, FALSE), 1)</f>
        <v>1.0666121697491808E-3</v>
      </c>
      <c r="W6" s="7">
        <f>$B6 * IFERROR(VLOOKUP("LULUCF|PM25|Asthma symptoms cough", US_national_yearly!$D:$AM, 31, FALSE) / VLOOKUP("LULUCF|PM25|Asthma symptoms cough", US_national_yearly!$D:$AM, 10, FALSE), 1)</f>
        <v>1.0666121697491808E-3</v>
      </c>
      <c r="X6" s="7">
        <f>$B6 * IFERROR(VLOOKUP("LULUCF|PM25|Asthma symptoms cough", US_national_yearly!$D:$AM, 32, FALSE) / VLOOKUP("LULUCF|PM25|Asthma symptoms cough", US_national_yearly!$D:$AM, 10, FALSE), 1)</f>
        <v>1.0666121697491808E-3</v>
      </c>
      <c r="Y6" s="7">
        <f>$B6 * IFERROR(VLOOKUP("LULUCF|PM25|Asthma symptoms cough", US_national_yearly!$D:$AM, 33, FALSE) / VLOOKUP("LULUCF|PM25|Asthma symptoms cough", US_national_yearly!$D:$AM, 10, FALSE), 1)</f>
        <v>1.0666121697491808E-3</v>
      </c>
      <c r="Z6" s="7">
        <f>$B6 * IFERROR(VLOOKUP("LULUCF|PM25|Asthma symptoms cough", US_national_yearly!$D:$AM, 34, FALSE) / VLOOKUP("LULUCF|PM25|Asthma symptoms cough", US_national_yearly!$D:$AM, 10, FALSE), 1)</f>
        <v>1.0666121697491808E-3</v>
      </c>
      <c r="AA6" s="7">
        <f>$B6 * IFERROR(VLOOKUP("LULUCF|PM25|Asthma symptoms cough", US_national_yearly!$D:$AM, 35, FALSE) / VLOOKUP("LULUCF|PM25|Asthma symptoms cough", US_national_yearly!$D:$AM, 10, FALSE), 1)</f>
        <v>1.0666121697491808E-3</v>
      </c>
      <c r="AB6" s="7">
        <f>$B6 * IFERROR(VLOOKUP("LULUCF|PM25|Asthma symptoms cough", US_national_yearly!$D:$AM, 36, FALSE) / VLOOKUP("LULUCF|PM25|Asthma symptoms cough", US_national_yearly!$D:$AM, 10, FALSE), 1)</f>
        <v>1.0666121697491808E-3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1.4363384007172921E-3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1.4363384007172921E-3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1.4363384007172921E-3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1.4363384007172921E-3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1.4363384007172921E-3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1.4363384007172921E-3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1.4363384007172921E-3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1.4363384007172921E-3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1.4363384007172921E-3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1.4363384007172921E-3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1.4363384007172921E-3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1.4363384007172921E-3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1.4363384007172921E-3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1.4363384007172921E-3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1.4363384007172921E-3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1.4363384007172921E-3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1.4363384007172921E-3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1.4363384007172921E-3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1.4363384007172921E-3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1.4363384007172921E-3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1.4363384007172921E-3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1.4363384007172921E-3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1.4363384007172921E-3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1.4363384007172921E-3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1.4363384007172921E-3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1.4363384007172921E-3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1.4363384007172921E-3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2.1945160904849057E-3</v>
      </c>
      <c r="C8" s="7">
        <f>$B8 * IFERROR(VLOOKUP("LULUCF|PM25|Asthma symptoms wheeze", US_national_yearly!$D:$AM, 11, FALSE) / VLOOKUP("LULUCF|PM25|Asthma symptoms wheeze", US_national_yearly!$D:$AM, 10, FALSE), 1)</f>
        <v>2.1945160904849057E-3</v>
      </c>
      <c r="D8" s="7">
        <f>$B8 * IFERROR(VLOOKUP("LULUCF|PM25|Asthma symptoms wheeze", US_national_yearly!$D:$AM, 12, FALSE) / VLOOKUP("LULUCF|PM25|Asthma symptoms wheeze", US_national_yearly!$D:$AM, 10, FALSE), 1)</f>
        <v>2.1945160904849057E-3</v>
      </c>
      <c r="E8" s="7">
        <f>$B8 * IFERROR(VLOOKUP("LULUCF|PM25|Asthma symptoms wheeze", US_national_yearly!$D:$AM, 13, FALSE) / VLOOKUP("LULUCF|PM25|Asthma symptoms wheeze", US_national_yearly!$D:$AM, 10, FALSE), 1)</f>
        <v>2.1945160904849057E-3</v>
      </c>
      <c r="F8" s="7">
        <f>$B8 * IFERROR(VLOOKUP("LULUCF|PM25|Asthma symptoms wheeze", US_national_yearly!$D:$AM, 14, FALSE) / VLOOKUP("LULUCF|PM25|Asthma symptoms wheeze", US_national_yearly!$D:$AM, 10, FALSE), 1)</f>
        <v>2.1945160904849057E-3</v>
      </c>
      <c r="G8" s="7">
        <f>$B8 * IFERROR(VLOOKUP("LULUCF|PM25|Asthma symptoms wheeze", US_national_yearly!$D:$AM, 15, FALSE) / VLOOKUP("LULUCF|PM25|Asthma symptoms wheeze", US_national_yearly!$D:$AM, 10, FALSE), 1)</f>
        <v>2.1945160904849057E-3</v>
      </c>
      <c r="H8" s="7">
        <f>$B8 * IFERROR(VLOOKUP("LULUCF|PM25|Asthma symptoms wheeze", US_national_yearly!$D:$AM, 16, FALSE) / VLOOKUP("LULUCF|PM25|Asthma symptoms wheeze", US_national_yearly!$D:$AM, 10, FALSE), 1)</f>
        <v>2.1945160904849057E-3</v>
      </c>
      <c r="I8" s="7">
        <f>$B8 * IFERROR(VLOOKUP("LULUCF|PM25|Asthma symptoms wheeze", US_national_yearly!$D:$AM, 17, FALSE) / VLOOKUP("LULUCF|PM25|Asthma symptoms wheeze", US_national_yearly!$D:$AM, 10, FALSE), 1)</f>
        <v>2.1945160904849057E-3</v>
      </c>
      <c r="J8" s="7">
        <f>$B8 * IFERROR(VLOOKUP("LULUCF|PM25|Asthma symptoms wheeze", US_national_yearly!$D:$AM, 18, FALSE) / VLOOKUP("LULUCF|PM25|Asthma symptoms wheeze", US_national_yearly!$D:$AM, 10, FALSE), 1)</f>
        <v>2.1945160904849057E-3</v>
      </c>
      <c r="K8" s="7">
        <f>$B8 * IFERROR(VLOOKUP("LULUCF|PM25|Asthma symptoms wheeze", US_national_yearly!$D:$AM, 19, FALSE) / VLOOKUP("LULUCF|PM25|Asthma symptoms wheeze", US_national_yearly!$D:$AM, 10, FALSE), 1)</f>
        <v>2.1945160904849057E-3</v>
      </c>
      <c r="L8" s="7">
        <f>$B8 * IFERROR(VLOOKUP("LULUCF|PM25|Asthma symptoms wheeze", US_national_yearly!$D:$AM, 20, FALSE) / VLOOKUP("LULUCF|PM25|Asthma symptoms wheeze", US_national_yearly!$D:$AM, 10, FALSE), 1)</f>
        <v>2.1945160904849057E-3</v>
      </c>
      <c r="M8" s="7">
        <f>$B8 * IFERROR(VLOOKUP("LULUCF|PM25|Asthma symptoms wheeze", US_national_yearly!$D:$AM, 21, FALSE) / VLOOKUP("LULUCF|PM25|Asthma symptoms wheeze", US_national_yearly!$D:$AM, 10, FALSE), 1)</f>
        <v>2.1945160904849057E-3</v>
      </c>
      <c r="N8" s="7">
        <f>$B8 * IFERROR(VLOOKUP("LULUCF|PM25|Asthma symptoms wheeze", US_national_yearly!$D:$AM, 22, FALSE) / VLOOKUP("LULUCF|PM25|Asthma symptoms wheeze", US_national_yearly!$D:$AM, 10, FALSE), 1)</f>
        <v>2.1945160904849057E-3</v>
      </c>
      <c r="O8" s="7">
        <f>$B8 * IFERROR(VLOOKUP("LULUCF|PM25|Asthma symptoms wheeze", US_national_yearly!$D:$AM, 23, FALSE) / VLOOKUP("LULUCF|PM25|Asthma symptoms wheeze", US_national_yearly!$D:$AM, 10, FALSE), 1)</f>
        <v>2.1945160904849057E-3</v>
      </c>
      <c r="P8" s="7">
        <f>$B8 * IFERROR(VLOOKUP("LULUCF|PM25|Asthma symptoms wheeze", US_national_yearly!$D:$AM, 24, FALSE) / VLOOKUP("LULUCF|PM25|Asthma symptoms wheeze", US_national_yearly!$D:$AM, 10, FALSE), 1)</f>
        <v>2.1945160904849057E-3</v>
      </c>
      <c r="Q8" s="7">
        <f>$B8 * IFERROR(VLOOKUP("LULUCF|PM25|Asthma symptoms wheeze", US_national_yearly!$D:$AM, 25, FALSE) / VLOOKUP("LULUCF|PM25|Asthma symptoms wheeze", US_national_yearly!$D:$AM, 10, FALSE), 1)</f>
        <v>2.1945160904849057E-3</v>
      </c>
      <c r="R8" s="7">
        <f>$B8 * IFERROR(VLOOKUP("LULUCF|PM25|Asthma symptoms wheeze", US_national_yearly!$D:$AM, 26, FALSE) / VLOOKUP("LULUCF|PM25|Asthma symptoms wheeze", US_national_yearly!$D:$AM, 10, FALSE), 1)</f>
        <v>2.1945160904849057E-3</v>
      </c>
      <c r="S8" s="7">
        <f>$B8 * IFERROR(VLOOKUP("LULUCF|PM25|Asthma symptoms wheeze", US_national_yearly!$D:$AM, 27, FALSE) / VLOOKUP("LULUCF|PM25|Asthma symptoms wheeze", US_national_yearly!$D:$AM, 10, FALSE), 1)</f>
        <v>2.1945160904849057E-3</v>
      </c>
      <c r="T8" s="7">
        <f>$B8 * IFERROR(VLOOKUP("LULUCF|PM25|Asthma symptoms wheeze", US_national_yearly!$D:$AM, 28, FALSE) / VLOOKUP("LULUCF|PM25|Asthma symptoms wheeze", US_national_yearly!$D:$AM, 10, FALSE), 1)</f>
        <v>2.1945160904849057E-3</v>
      </c>
      <c r="U8" s="7">
        <f>$B8 * IFERROR(VLOOKUP("LULUCF|PM25|Asthma symptoms wheeze", US_national_yearly!$D:$AM, 29, FALSE) / VLOOKUP("LULUCF|PM25|Asthma symptoms wheeze", US_national_yearly!$D:$AM, 10, FALSE), 1)</f>
        <v>2.1945160904849057E-3</v>
      </c>
      <c r="V8" s="7">
        <f>$B8 * IFERROR(VLOOKUP("LULUCF|PM25|Asthma symptoms wheeze", US_national_yearly!$D:$AM, 30, FALSE) / VLOOKUP("LULUCF|PM25|Asthma symptoms wheeze", US_national_yearly!$D:$AM, 10, FALSE), 1)</f>
        <v>2.1945160904849057E-3</v>
      </c>
      <c r="W8" s="7">
        <f>$B8 * IFERROR(VLOOKUP("LULUCF|PM25|Asthma symptoms wheeze", US_national_yearly!$D:$AM, 31, FALSE) / VLOOKUP("LULUCF|PM25|Asthma symptoms wheeze", US_national_yearly!$D:$AM, 10, FALSE), 1)</f>
        <v>2.1945160904849057E-3</v>
      </c>
      <c r="X8" s="7">
        <f>$B8 * IFERROR(VLOOKUP("LULUCF|PM25|Asthma symptoms wheeze", US_national_yearly!$D:$AM, 32, FALSE) / VLOOKUP("LULUCF|PM25|Asthma symptoms wheeze", US_national_yearly!$D:$AM, 10, FALSE), 1)</f>
        <v>2.1945160904849057E-3</v>
      </c>
      <c r="Y8" s="7">
        <f>$B8 * IFERROR(VLOOKUP("LULUCF|PM25|Asthma symptoms wheeze", US_national_yearly!$D:$AM, 33, FALSE) / VLOOKUP("LULUCF|PM25|Asthma symptoms wheeze", US_national_yearly!$D:$AM, 10, FALSE), 1)</f>
        <v>2.1945160904849057E-3</v>
      </c>
      <c r="Z8" s="7">
        <f>$B8 * IFERROR(VLOOKUP("LULUCF|PM25|Asthma symptoms wheeze", US_national_yearly!$D:$AM, 34, FALSE) / VLOOKUP("LULUCF|PM25|Asthma symptoms wheeze", US_national_yearly!$D:$AM, 10, FALSE), 1)</f>
        <v>2.1945160904849057E-3</v>
      </c>
      <c r="AA8" s="7">
        <f>$B8 * IFERROR(VLOOKUP("LULUCF|PM25|Asthma symptoms wheeze", US_national_yearly!$D:$AM, 35, FALSE) / VLOOKUP("LULUCF|PM25|Asthma symptoms wheeze", US_national_yearly!$D:$AM, 10, FALSE), 1)</f>
        <v>2.1945160904849057E-3</v>
      </c>
      <c r="AB8" s="7">
        <f>$B8 * IFERROR(VLOOKUP("LULUCF|PM25|Asthma symptoms wheeze", US_national_yearly!$D:$AM, 36, FALSE) / VLOOKUP("LULUCF|PM25|Asthma symptoms wheeze", US_national_yearly!$D:$AM, 10, FALSE), 1)</f>
        <v>2.1945160904849057E-3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3.43772505531868E-5</v>
      </c>
      <c r="C12" s="7">
        <f>$B12 * IFERROR(VLOOKUP("LULUCF|PM25|Respiratory hospital admissions", US_national_yearly!$D:$AM, 11, FALSE) / VLOOKUP("LULUCF|PM25|Respiratory hospital admissions", US_national_yearly!$D:$AM, 10, FALSE), 1)</f>
        <v>3.4574287097367823E-5</v>
      </c>
      <c r="D12" s="7">
        <f>$B12 * IFERROR(VLOOKUP("LULUCF|PM25|Respiratory hospital admissions", US_national_yearly!$D:$AM, 12, FALSE) / VLOOKUP("LULUCF|PM25|Respiratory hospital admissions", US_national_yearly!$D:$AM, 10, FALSE), 1)</f>
        <v>3.4771323641548846E-5</v>
      </c>
      <c r="E12" s="7">
        <f>$B12 * IFERROR(VLOOKUP("LULUCF|PM25|Respiratory hospital admissions", US_national_yearly!$D:$AM, 13, FALSE) / VLOOKUP("LULUCF|PM25|Respiratory hospital admissions", US_national_yearly!$D:$AM, 10, FALSE), 1)</f>
        <v>3.4968360185729869E-5</v>
      </c>
      <c r="F12" s="7">
        <f>$B12 * IFERROR(VLOOKUP("LULUCF|PM25|Respiratory hospital admissions", US_national_yearly!$D:$AM, 14, FALSE) / VLOOKUP("LULUCF|PM25|Respiratory hospital admissions", US_national_yearly!$D:$AM, 10, FALSE), 1)</f>
        <v>3.5165396729910892E-5</v>
      </c>
      <c r="G12" s="7">
        <f>$B12 * IFERROR(VLOOKUP("LULUCF|PM25|Respiratory hospital admissions", US_national_yearly!$D:$AM, 15, FALSE) / VLOOKUP("LULUCF|PM25|Respiratory hospital admissions", US_national_yearly!$D:$AM, 10, FALSE), 1)</f>
        <v>3.5378204602274507E-5</v>
      </c>
      <c r="H12" s="7">
        <f>$B12 * IFERROR(VLOOKUP("LULUCF|PM25|Respiratory hospital admissions", US_national_yearly!$D:$AM, 16, FALSE) / VLOOKUP("LULUCF|PM25|Respiratory hospital admissions", US_national_yearly!$D:$AM, 10, FALSE), 1)</f>
        <v>3.5591012474638122E-5</v>
      </c>
      <c r="I12" s="7">
        <f>$B12 * IFERROR(VLOOKUP("LULUCF|PM25|Respiratory hospital admissions", US_national_yearly!$D:$AM, 17, FALSE) / VLOOKUP("LULUCF|PM25|Respiratory hospital admissions", US_national_yearly!$D:$AM, 10, FALSE), 1)</f>
        <v>3.579434231136311E-5</v>
      </c>
      <c r="J12" s="7">
        <f>$B12 * IFERROR(VLOOKUP("LULUCF|PM25|Respiratory hospital admissions", US_national_yearly!$D:$AM, 18, FALSE) / VLOOKUP("LULUCF|PM25|Respiratory hospital admissions", US_national_yearly!$D:$AM, 10, FALSE), 1)</f>
        <v>3.5997672148088111E-5</v>
      </c>
      <c r="K12" s="7">
        <f>$B12 * IFERROR(VLOOKUP("LULUCF|PM25|Respiratory hospital admissions", US_national_yearly!$D:$AM, 19, FALSE) / VLOOKUP("LULUCF|PM25|Respiratory hospital admissions", US_national_yearly!$D:$AM, 10, FALSE), 1)</f>
        <v>3.6201001984813106E-5</v>
      </c>
      <c r="L12" s="7">
        <f>$B12 * IFERROR(VLOOKUP("LULUCF|PM25|Respiratory hospital admissions", US_national_yearly!$D:$AM, 20, FALSE) / VLOOKUP("LULUCF|PM25|Respiratory hospital admissions", US_national_yearly!$D:$AM, 10, FALSE), 1)</f>
        <v>3.6404331821538107E-5</v>
      </c>
      <c r="M12" s="7">
        <f>$B12 * IFERROR(VLOOKUP("LULUCF|PM25|Respiratory hospital admissions", US_national_yearly!$D:$AM, 21, FALSE) / VLOOKUP("LULUCF|PM25|Respiratory hospital admissions", US_national_yearly!$D:$AM, 10, FALSE), 1)</f>
        <v>3.6607661658263088E-5</v>
      </c>
      <c r="N12" s="7">
        <f>$B12 * IFERROR(VLOOKUP("LULUCF|PM25|Respiratory hospital admissions", US_national_yearly!$D:$AM, 22, FALSE) / VLOOKUP("LULUCF|PM25|Respiratory hospital admissions", US_national_yearly!$D:$AM, 10, FALSE), 1)</f>
        <v>3.6753597415617151E-5</v>
      </c>
      <c r="O12" s="7">
        <f>$B12 * IFERROR(VLOOKUP("LULUCF|PM25|Respiratory hospital admissions", US_national_yearly!$D:$AM, 23, FALSE) / VLOOKUP("LULUCF|PM25|Respiratory hospital admissions", US_national_yearly!$D:$AM, 10, FALSE), 1)</f>
        <v>3.68995331729712E-5</v>
      </c>
      <c r="P12" s="7">
        <f>$B12 * IFERROR(VLOOKUP("LULUCF|PM25|Respiratory hospital admissions", US_national_yearly!$D:$AM, 24, FALSE) / VLOOKUP("LULUCF|PM25|Respiratory hospital admissions", US_national_yearly!$D:$AM, 10, FALSE), 1)</f>
        <v>3.7045468930325243E-5</v>
      </c>
      <c r="Q12" s="7">
        <f>$B12 * IFERROR(VLOOKUP("LULUCF|PM25|Respiratory hospital admissions", US_national_yearly!$D:$AM, 25, FALSE) / VLOOKUP("LULUCF|PM25|Respiratory hospital admissions", US_national_yearly!$D:$AM, 10, FALSE), 1)</f>
        <v>3.7191404687679299E-5</v>
      </c>
      <c r="R12" s="7">
        <f>$B12 * IFERROR(VLOOKUP("LULUCF|PM25|Respiratory hospital admissions", US_national_yearly!$D:$AM, 26, FALSE) / VLOOKUP("LULUCF|PM25|Respiratory hospital admissions", US_national_yearly!$D:$AM, 10, FALSE), 1)</f>
        <v>3.7337340445033355E-5</v>
      </c>
      <c r="S12" s="7">
        <f>$B12 * IFERROR(VLOOKUP("LULUCF|PM25|Respiratory hospital admissions", US_national_yearly!$D:$AM, 27, FALSE) / VLOOKUP("LULUCF|PM25|Respiratory hospital admissions", US_national_yearly!$D:$AM, 10, FALSE), 1)</f>
        <v>3.7476290515678332E-5</v>
      </c>
      <c r="T12" s="7">
        <f>$B12 * IFERROR(VLOOKUP("LULUCF|PM25|Respiratory hospital admissions", US_national_yearly!$D:$AM, 28, FALSE) / VLOOKUP("LULUCF|PM25|Respiratory hospital admissions", US_national_yearly!$D:$AM, 10, FALSE), 1)</f>
        <v>3.7615240586323316E-5</v>
      </c>
      <c r="U12" s="7">
        <f>$B12 * IFERROR(VLOOKUP("LULUCF|PM25|Respiratory hospital admissions", US_national_yearly!$D:$AM, 29, FALSE) / VLOOKUP("LULUCF|PM25|Respiratory hospital admissions", US_national_yearly!$D:$AM, 10, FALSE), 1)</f>
        <v>3.7754190656968293E-5</v>
      </c>
      <c r="V12" s="7">
        <f>$B12 * IFERROR(VLOOKUP("LULUCF|PM25|Respiratory hospital admissions", US_national_yearly!$D:$AM, 30, FALSE) / VLOOKUP("LULUCF|PM25|Respiratory hospital admissions", US_national_yearly!$D:$AM, 10, FALSE), 1)</f>
        <v>3.7893140727613269E-5</v>
      </c>
      <c r="W12" s="7">
        <f>$B12 * IFERROR(VLOOKUP("LULUCF|PM25|Respiratory hospital admissions", US_national_yearly!$D:$AM, 31, FALSE) / VLOOKUP("LULUCF|PM25|Respiratory hospital admissions", US_national_yearly!$D:$AM, 10, FALSE), 1)</f>
        <v>3.8032090798258246E-5</v>
      </c>
      <c r="X12" s="7">
        <f>$B12 * IFERROR(VLOOKUP("LULUCF|PM25|Respiratory hospital admissions", US_national_yearly!$D:$AM, 32, FALSE) / VLOOKUP("LULUCF|PM25|Respiratory hospital admissions", US_national_yearly!$D:$AM, 10, FALSE), 1)</f>
        <v>3.8165762538689464E-5</v>
      </c>
      <c r="Y12" s="7">
        <f>$B12 * IFERROR(VLOOKUP("LULUCF|PM25|Respiratory hospital admissions", US_national_yearly!$D:$AM, 33, FALSE) / VLOOKUP("LULUCF|PM25|Respiratory hospital admissions", US_national_yearly!$D:$AM, 10, FALSE), 1)</f>
        <v>3.8299434279120661E-5</v>
      </c>
      <c r="Z12" s="7">
        <f>$B12 * IFERROR(VLOOKUP("LULUCF|PM25|Respiratory hospital admissions", US_national_yearly!$D:$AM, 34, FALSE) / VLOOKUP("LULUCF|PM25|Respiratory hospital admissions", US_national_yearly!$D:$AM, 10, FALSE), 1)</f>
        <v>3.8433106019551871E-5</v>
      </c>
      <c r="AA12" s="7">
        <f>$B12 * IFERROR(VLOOKUP("LULUCF|PM25|Respiratory hospital admissions", US_national_yearly!$D:$AM, 35, FALSE) / VLOOKUP("LULUCF|PM25|Respiratory hospital admissions", US_national_yearly!$D:$AM, 10, FALSE), 1)</f>
        <v>3.8566777759983075E-5</v>
      </c>
      <c r="AB12" s="7">
        <f>$B12 * IFERROR(VLOOKUP("LULUCF|PM25|Respiratory hospital admissions", US_national_yearly!$D:$AM, 36, FALSE) / VLOOKUP("LULUCF|PM25|Respiratory hospital admissions", US_national_yearly!$D:$AM, 10, FALSE), 1)</f>
        <v>3.8700449500414286E-5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1.8853714560485948E-4</v>
      </c>
      <c r="C13" s="7">
        <f>$B13 * IFERROR(VLOOKUP("LULUCF|PM25|Non-fatal heart attacks", US_national_yearly!$D:$AM, 11, FALSE) / VLOOKUP("LULUCF|PM25|Non-fatal heart attacks", US_national_yearly!$D:$AM, 10, FALSE), 1)</f>
        <v>1.9401842074791555E-4</v>
      </c>
      <c r="D13" s="7">
        <f>$B13 * IFERROR(VLOOKUP("LULUCF|PM25|Non-fatal heart attacks", US_national_yearly!$D:$AM, 12, FALSE) / VLOOKUP("LULUCF|PM25|Non-fatal heart attacks", US_national_yearly!$D:$AM, 10, FALSE), 1)</f>
        <v>1.9949969589097162E-4</v>
      </c>
      <c r="E13" s="7">
        <f>$B13 * IFERROR(VLOOKUP("LULUCF|PM25|Non-fatal heart attacks", US_national_yearly!$D:$AM, 13, FALSE) / VLOOKUP("LULUCF|PM25|Non-fatal heart attacks", US_national_yearly!$D:$AM, 10, FALSE), 1)</f>
        <v>2.0498097103402766E-4</v>
      </c>
      <c r="F13" s="7">
        <f>$B13 * IFERROR(VLOOKUP("LULUCF|PM25|Non-fatal heart attacks", US_national_yearly!$D:$AM, 14, FALSE) / VLOOKUP("LULUCF|PM25|Non-fatal heart attacks", US_national_yearly!$D:$AM, 10, FALSE), 1)</f>
        <v>2.1046224617708378E-4</v>
      </c>
      <c r="G13" s="7">
        <f>$B13 * IFERROR(VLOOKUP("LULUCF|PM25|Non-fatal heart attacks", US_national_yearly!$D:$AM, 15, FALSE) / VLOOKUP("LULUCF|PM25|Non-fatal heart attacks", US_national_yearly!$D:$AM, 10, FALSE), 1)</f>
        <v>2.1563143515648217E-4</v>
      </c>
      <c r="H13" s="7">
        <f>$B13 * IFERROR(VLOOKUP("LULUCF|PM25|Non-fatal heart attacks", US_national_yearly!$D:$AM, 16, FALSE) / VLOOKUP("LULUCF|PM25|Non-fatal heart attacks", US_national_yearly!$D:$AM, 10, FALSE), 1)</f>
        <v>2.2080062413588054E-4</v>
      </c>
      <c r="I13" s="7">
        <f>$B13 * IFERROR(VLOOKUP("LULUCF|PM25|Non-fatal heart attacks", US_national_yearly!$D:$AM, 17, FALSE) / VLOOKUP("LULUCF|PM25|Non-fatal heart attacks", US_national_yearly!$D:$AM, 10, FALSE), 1)</f>
        <v>2.2495493200180909E-4</v>
      </c>
      <c r="J13" s="7">
        <f>$B13 * IFERROR(VLOOKUP("LULUCF|PM25|Non-fatal heart attacks", US_national_yearly!$D:$AM, 18, FALSE) / VLOOKUP("LULUCF|PM25|Non-fatal heart attacks", US_national_yearly!$D:$AM, 10, FALSE), 1)</f>
        <v>2.2910923986773764E-4</v>
      </c>
      <c r="K13" s="7">
        <f>$B13 * IFERROR(VLOOKUP("LULUCF|PM25|Non-fatal heart attacks", US_national_yearly!$D:$AM, 19, FALSE) / VLOOKUP("LULUCF|PM25|Non-fatal heart attacks", US_national_yearly!$D:$AM, 10, FALSE), 1)</f>
        <v>2.3326354773366625E-4</v>
      </c>
      <c r="L13" s="7">
        <f>$B13 * IFERROR(VLOOKUP("LULUCF|PM25|Non-fatal heart attacks", US_national_yearly!$D:$AM, 20, FALSE) / VLOOKUP("LULUCF|PM25|Non-fatal heart attacks", US_national_yearly!$D:$AM, 10, FALSE), 1)</f>
        <v>2.374178555995948E-4</v>
      </c>
      <c r="M13" s="7">
        <f>$B13 * IFERROR(VLOOKUP("LULUCF|PM25|Non-fatal heart attacks", US_national_yearly!$D:$AM, 21, FALSE) / VLOOKUP("LULUCF|PM25|Non-fatal heart attacks", US_national_yearly!$D:$AM, 10, FALSE), 1)</f>
        <v>2.4157216346552341E-4</v>
      </c>
      <c r="N13" s="7">
        <f>$B13 * IFERROR(VLOOKUP("LULUCF|PM25|Non-fatal heart attacks", US_national_yearly!$D:$AM, 22, FALSE) / VLOOKUP("LULUCF|PM25|Non-fatal heart attacks", US_national_yearly!$D:$AM, 10, FALSE), 1)</f>
        <v>2.442512818199244E-4</v>
      </c>
      <c r="O13" s="7">
        <f>$B13 * IFERROR(VLOOKUP("LULUCF|PM25|Non-fatal heart attacks", US_national_yearly!$D:$AM, 23, FALSE) / VLOOKUP("LULUCF|PM25|Non-fatal heart attacks", US_national_yearly!$D:$AM, 10, FALSE), 1)</f>
        <v>2.4693040017432539E-4</v>
      </c>
      <c r="P13" s="7">
        <f>$B13 * IFERROR(VLOOKUP("LULUCF|PM25|Non-fatal heart attacks", US_national_yearly!$D:$AM, 24, FALSE) / VLOOKUP("LULUCF|PM25|Non-fatal heart attacks", US_national_yearly!$D:$AM, 10, FALSE), 1)</f>
        <v>2.4960951852872644E-4</v>
      </c>
      <c r="Q13" s="7">
        <f>$B13 * IFERROR(VLOOKUP("LULUCF|PM25|Non-fatal heart attacks", US_national_yearly!$D:$AM, 25, FALSE) / VLOOKUP("LULUCF|PM25|Non-fatal heart attacks", US_national_yearly!$D:$AM, 10, FALSE), 1)</f>
        <v>2.5228863688312738E-4</v>
      </c>
      <c r="R13" s="7">
        <f>$B13 * IFERROR(VLOOKUP("LULUCF|PM25|Non-fatal heart attacks", US_national_yearly!$D:$AM, 26, FALSE) / VLOOKUP("LULUCF|PM25|Non-fatal heart attacks", US_national_yearly!$D:$AM, 10, FALSE), 1)</f>
        <v>2.5496775523752843E-4</v>
      </c>
      <c r="S13" s="7">
        <f>$B13 * IFERROR(VLOOKUP("LULUCF|PM25|Non-fatal heart attacks", US_national_yearly!$D:$AM, 27, FALSE) / VLOOKUP("LULUCF|PM25|Non-fatal heart attacks", US_national_yearly!$D:$AM, 10, FALSE), 1)</f>
        <v>2.5637865550478319E-4</v>
      </c>
      <c r="T13" s="7">
        <f>$B13 * IFERROR(VLOOKUP("LULUCF|PM25|Non-fatal heart attacks", US_national_yearly!$D:$AM, 28, FALSE) / VLOOKUP("LULUCF|PM25|Non-fatal heart attacks", US_national_yearly!$D:$AM, 10, FALSE), 1)</f>
        <v>2.5778955577203806E-4</v>
      </c>
      <c r="U13" s="7">
        <f>$B13 * IFERROR(VLOOKUP("LULUCF|PM25|Non-fatal heart attacks", US_national_yearly!$D:$AM, 29, FALSE) / VLOOKUP("LULUCF|PM25|Non-fatal heart attacks", US_national_yearly!$D:$AM, 10, FALSE), 1)</f>
        <v>2.5920045603929298E-4</v>
      </c>
      <c r="V13" s="7">
        <f>$B13 * IFERROR(VLOOKUP("LULUCF|PM25|Non-fatal heart attacks", US_national_yearly!$D:$AM, 30, FALSE) / VLOOKUP("LULUCF|PM25|Non-fatal heart attacks", US_national_yearly!$D:$AM, 10, FALSE), 1)</f>
        <v>2.606113563065478E-4</v>
      </c>
      <c r="W13" s="7">
        <f>$B13 * IFERROR(VLOOKUP("LULUCF|PM25|Non-fatal heart attacks", US_national_yearly!$D:$AM, 31, FALSE) / VLOOKUP("LULUCF|PM25|Non-fatal heart attacks", US_national_yearly!$D:$AM, 10, FALSE), 1)</f>
        <v>2.6202225657380262E-4</v>
      </c>
      <c r="X13" s="7">
        <f>$B13 * IFERROR(VLOOKUP("LULUCF|PM25|Non-fatal heart attacks", US_national_yearly!$D:$AM, 32, FALSE) / VLOOKUP("LULUCF|PM25|Non-fatal heart attacks", US_national_yearly!$D:$AM, 10, FALSE), 1)</f>
        <v>2.6309333388863484E-4</v>
      </c>
      <c r="Y13" s="7">
        <f>$B13 * IFERROR(VLOOKUP("LULUCF|PM25|Non-fatal heart attacks", US_national_yearly!$D:$AM, 33, FALSE) / VLOOKUP("LULUCF|PM25|Non-fatal heart attacks", US_national_yearly!$D:$AM, 10, FALSE), 1)</f>
        <v>2.6416441120346711E-4</v>
      </c>
      <c r="Z13" s="7">
        <f>$B13 * IFERROR(VLOOKUP("LULUCF|PM25|Non-fatal heart attacks", US_national_yearly!$D:$AM, 34, FALSE) / VLOOKUP("LULUCF|PM25|Non-fatal heart attacks", US_national_yearly!$D:$AM, 10, FALSE), 1)</f>
        <v>2.6523548851829933E-4</v>
      </c>
      <c r="AA13" s="7">
        <f>$B13 * IFERROR(VLOOKUP("LULUCF|PM25|Non-fatal heart attacks", US_national_yearly!$D:$AM, 35, FALSE) / VLOOKUP("LULUCF|PM25|Non-fatal heart attacks", US_national_yearly!$D:$AM, 10, FALSE), 1)</f>
        <v>2.6630656583313155E-4</v>
      </c>
      <c r="AB13" s="7">
        <f>$B13 * IFERROR(VLOOKUP("LULUCF|PM25|Non-fatal heart attacks", US_national_yearly!$D:$AM, 36, FALSE) / VLOOKUP("LULUCF|PM25|Non-fatal heart attacks", US_national_yearly!$D:$AM, 10, FALSE), 1)</f>
        <v>2.6737764314796377E-4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0.13371175430749255</v>
      </c>
      <c r="C14" s="7">
        <f>$B14 * IFERROR(VLOOKUP("LULUCF|PM25|Minor restricted activity days", US_national_yearly!$D:$AM, 11, FALSE) / VLOOKUP("LULUCF|PM25|Minor restricted activity days", US_national_yearly!$D:$AM, 10, FALSE), 1)</f>
        <v>0.13403829426850658</v>
      </c>
      <c r="D14" s="7">
        <f>$B14 * IFERROR(VLOOKUP("LULUCF|PM25|Minor restricted activity days", US_national_yearly!$D:$AM, 12, FALSE) / VLOOKUP("LULUCF|PM25|Minor restricted activity days", US_national_yearly!$D:$AM, 10, FALSE), 1)</f>
        <v>0.13436483422952059</v>
      </c>
      <c r="E14" s="7">
        <f>$B14 * IFERROR(VLOOKUP("LULUCF|PM25|Minor restricted activity days", US_national_yearly!$D:$AM, 13, FALSE) / VLOOKUP("LULUCF|PM25|Minor restricted activity days", US_national_yearly!$D:$AM, 10, FALSE), 1)</f>
        <v>0.13469137419053465</v>
      </c>
      <c r="F14" s="7">
        <f>$B14 * IFERROR(VLOOKUP("LULUCF|PM25|Minor restricted activity days", US_national_yearly!$D:$AM, 14, FALSE) / VLOOKUP("LULUCF|PM25|Minor restricted activity days", US_national_yearly!$D:$AM, 10, FALSE), 1)</f>
        <v>0.13501791415154862</v>
      </c>
      <c r="G14" s="7">
        <f>$B14 * IFERROR(VLOOKUP("LULUCF|PM25|Minor restricted activity days", US_national_yearly!$D:$AM, 15, FALSE) / VLOOKUP("LULUCF|PM25|Minor restricted activity days", US_national_yearly!$D:$AM, 10, FALSE), 1)</f>
        <v>0.13549971409153064</v>
      </c>
      <c r="H14" s="7">
        <f>$B14 * IFERROR(VLOOKUP("LULUCF|PM25|Minor restricted activity days", US_national_yearly!$D:$AM, 16, FALSE) / VLOOKUP("LULUCF|PM25|Minor restricted activity days", US_national_yearly!$D:$AM, 10, FALSE), 1)</f>
        <v>0.13598151403151265</v>
      </c>
      <c r="I14" s="7">
        <f>$B14 * IFERROR(VLOOKUP("LULUCF|PM25|Minor restricted activity days", US_national_yearly!$D:$AM, 17, FALSE) / VLOOKUP("LULUCF|PM25|Minor restricted activity days", US_national_yearly!$D:$AM, 10, FALSE), 1)</f>
        <v>0.13680517129863565</v>
      </c>
      <c r="J14" s="7">
        <f>$B14 * IFERROR(VLOOKUP("LULUCF|PM25|Minor restricted activity days", US_national_yearly!$D:$AM, 18, FALSE) / VLOOKUP("LULUCF|PM25|Minor restricted activity days", US_national_yearly!$D:$AM, 10, FALSE), 1)</f>
        <v>0.13762882856575859</v>
      </c>
      <c r="K14" s="7">
        <f>$B14 * IFERROR(VLOOKUP("LULUCF|PM25|Minor restricted activity days", US_national_yearly!$D:$AM, 19, FALSE) / VLOOKUP("LULUCF|PM25|Minor restricted activity days", US_national_yearly!$D:$AM, 10, FALSE), 1)</f>
        <v>0.13845248583288158</v>
      </c>
      <c r="L14" s="7">
        <f>$B14 * IFERROR(VLOOKUP("LULUCF|PM25|Minor restricted activity days", US_national_yearly!$D:$AM, 20, FALSE) / VLOOKUP("LULUCF|PM25|Minor restricted activity days", US_national_yearly!$D:$AM, 10, FALSE), 1)</f>
        <v>0.13927614310000455</v>
      </c>
      <c r="M14" s="7">
        <f>$B14 * IFERROR(VLOOKUP("LULUCF|PM25|Minor restricted activity days", US_national_yearly!$D:$AM, 21, FALSE) / VLOOKUP("LULUCF|PM25|Minor restricted activity days", US_national_yearly!$D:$AM, 10, FALSE), 1)</f>
        <v>0.14009980036712749</v>
      </c>
      <c r="N14" s="7">
        <f>$B14 * IFERROR(VLOOKUP("LULUCF|PM25|Minor restricted activity days", US_national_yearly!$D:$AM, 22, FALSE) / VLOOKUP("LULUCF|PM25|Minor restricted activity days", US_national_yearly!$D:$AM, 10, FALSE), 1)</f>
        <v>0.14122178555481923</v>
      </c>
      <c r="O14" s="7">
        <f>$B14 * IFERROR(VLOOKUP("LULUCF|PM25|Minor restricted activity days", US_national_yearly!$D:$AM, 23, FALSE) / VLOOKUP("LULUCF|PM25|Minor restricted activity days", US_national_yearly!$D:$AM, 10, FALSE), 1)</f>
        <v>0.14234377074251092</v>
      </c>
      <c r="P14" s="7">
        <f>$B14 * IFERROR(VLOOKUP("LULUCF|PM25|Minor restricted activity days", US_national_yearly!$D:$AM, 24, FALSE) / VLOOKUP("LULUCF|PM25|Minor restricted activity days", US_national_yearly!$D:$AM, 10, FALSE), 1)</f>
        <v>0.14346575593020264</v>
      </c>
      <c r="Q14" s="7">
        <f>$B14 * IFERROR(VLOOKUP("LULUCF|PM25|Minor restricted activity days", US_national_yearly!$D:$AM, 25, FALSE) / VLOOKUP("LULUCF|PM25|Minor restricted activity days", US_national_yearly!$D:$AM, 10, FALSE), 1)</f>
        <v>0.14458774111789435</v>
      </c>
      <c r="R14" s="7">
        <f>$B14 * IFERROR(VLOOKUP("LULUCF|PM25|Minor restricted activity days", US_national_yearly!$D:$AM, 26, FALSE) / VLOOKUP("LULUCF|PM25|Minor restricted activity days", US_national_yearly!$D:$AM, 10, FALSE), 1)</f>
        <v>0.14570972630558604</v>
      </c>
      <c r="S14" s="7">
        <f>$B14 * IFERROR(VLOOKUP("LULUCF|PM25|Minor restricted activity days", US_national_yearly!$D:$AM, 27, FALSE) / VLOOKUP("LULUCF|PM25|Minor restricted activity days", US_national_yearly!$D:$AM, 10, FALSE), 1)</f>
        <v>0.14683943823761397</v>
      </c>
      <c r="T14" s="7">
        <f>$B14 * IFERROR(VLOOKUP("LULUCF|PM25|Minor restricted activity days", US_national_yearly!$D:$AM, 28, FALSE) / VLOOKUP("LULUCF|PM25|Minor restricted activity days", US_national_yearly!$D:$AM, 10, FALSE), 1)</f>
        <v>0.14796915016964188</v>
      </c>
      <c r="U14" s="7">
        <f>$B14 * IFERROR(VLOOKUP("LULUCF|PM25|Minor restricted activity days", US_national_yearly!$D:$AM, 29, FALSE) / VLOOKUP("LULUCF|PM25|Minor restricted activity days", US_national_yearly!$D:$AM, 10, FALSE), 1)</f>
        <v>0.14909886210166978</v>
      </c>
      <c r="V14" s="7">
        <f>$B14 * IFERROR(VLOOKUP("LULUCF|PM25|Minor restricted activity days", US_national_yearly!$D:$AM, 30, FALSE) / VLOOKUP("LULUCF|PM25|Minor restricted activity days", US_national_yearly!$D:$AM, 10, FALSE), 1)</f>
        <v>0.15022857403369771</v>
      </c>
      <c r="W14" s="7">
        <f>$B14 * IFERROR(VLOOKUP("LULUCF|PM25|Minor restricted activity days", US_national_yearly!$D:$AM, 31, FALSE) / VLOOKUP("LULUCF|PM25|Minor restricted activity days", US_national_yearly!$D:$AM, 10, FALSE), 1)</f>
        <v>0.15135828596572562</v>
      </c>
      <c r="X14" s="7">
        <f>$B14 * IFERROR(VLOOKUP("LULUCF|PM25|Minor restricted activity days", US_national_yearly!$D:$AM, 32, FALSE) / VLOOKUP("LULUCF|PM25|Minor restricted activity days", US_national_yearly!$D:$AM, 10, FALSE), 1)</f>
        <v>0.15233898957390857</v>
      </c>
      <c r="Y14" s="7">
        <f>$B14 * IFERROR(VLOOKUP("LULUCF|PM25|Minor restricted activity days", US_national_yearly!$D:$AM, 33, FALSE) / VLOOKUP("LULUCF|PM25|Minor restricted activity days", US_national_yearly!$D:$AM, 10, FALSE), 1)</f>
        <v>0.15331969318209149</v>
      </c>
      <c r="Z14" s="7">
        <f>$B14 * IFERROR(VLOOKUP("LULUCF|PM25|Minor restricted activity days", US_national_yearly!$D:$AM, 34, FALSE) / VLOOKUP("LULUCF|PM25|Minor restricted activity days", US_national_yearly!$D:$AM, 10, FALSE), 1)</f>
        <v>0.15430039679027444</v>
      </c>
      <c r="AA14" s="7">
        <f>$B14 * IFERROR(VLOOKUP("LULUCF|PM25|Minor restricted activity days", US_national_yearly!$D:$AM, 35, FALSE) / VLOOKUP("LULUCF|PM25|Minor restricted activity days", US_national_yearly!$D:$AM, 10, FALSE), 1)</f>
        <v>0.15528110039845733</v>
      </c>
      <c r="AB14" s="7">
        <f>$B14 * IFERROR(VLOOKUP("LULUCF|PM25|Minor restricted activity days", US_national_yearly!$D:$AM, 36, FALSE) / VLOOKUP("LULUCF|PM25|Minor restricted activity days", US_national_yearly!$D:$AM, 10, FALSE), 1)</f>
        <v>0.15626180400664028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2.2563422044749683E-2</v>
      </c>
      <c r="C15" s="7">
        <f>$B15 * IFERROR(VLOOKUP("LULUCF|PM25|Work loss days", US_national_yearly!$D:$AM, 11, FALSE) / VLOOKUP("LULUCF|PM25|Work loss days", US_national_yearly!$D:$AM, 10, FALSE), 1)</f>
        <v>2.2633360526402743E-2</v>
      </c>
      <c r="D15" s="7">
        <f>$B15 * IFERROR(VLOOKUP("LULUCF|PM25|Work loss days", US_national_yearly!$D:$AM, 12, FALSE) / VLOOKUP("LULUCF|PM25|Work loss days", US_national_yearly!$D:$AM, 10, FALSE), 1)</f>
        <v>2.2703299008055809E-2</v>
      </c>
      <c r="E15" s="7">
        <f>$B15 * IFERROR(VLOOKUP("LULUCF|PM25|Work loss days", US_national_yearly!$D:$AM, 13, FALSE) / VLOOKUP("LULUCF|PM25|Work loss days", US_national_yearly!$D:$AM, 10, FALSE), 1)</f>
        <v>2.2773237489708872E-2</v>
      </c>
      <c r="F15" s="7">
        <f>$B15 * IFERROR(VLOOKUP("LULUCF|PM25|Work loss days", US_national_yearly!$D:$AM, 14, FALSE) / VLOOKUP("LULUCF|PM25|Work loss days", US_national_yearly!$D:$AM, 10, FALSE), 1)</f>
        <v>2.2843175971361932E-2</v>
      </c>
      <c r="G15" s="7">
        <f>$B15 * IFERROR(VLOOKUP("LULUCF|PM25|Work loss days", US_national_yearly!$D:$AM, 15, FALSE) / VLOOKUP("LULUCF|PM25|Work loss days", US_national_yearly!$D:$AM, 10, FALSE), 1)</f>
        <v>2.293486978365069E-2</v>
      </c>
      <c r="H15" s="7">
        <f>$B15 * IFERROR(VLOOKUP("LULUCF|PM25|Work loss days", US_national_yearly!$D:$AM, 16, FALSE) / VLOOKUP("LULUCF|PM25|Work loss days", US_national_yearly!$D:$AM, 10, FALSE), 1)</f>
        <v>2.302656359593945E-2</v>
      </c>
      <c r="I15" s="7">
        <f>$B15 * IFERROR(VLOOKUP("LULUCF|PM25|Work loss days", US_national_yearly!$D:$AM, 17, FALSE) / VLOOKUP("LULUCF|PM25|Work loss days", US_national_yearly!$D:$AM, 10, FALSE), 1)</f>
        <v>2.3161592819470143E-2</v>
      </c>
      <c r="J15" s="7">
        <f>$B15 * IFERROR(VLOOKUP("LULUCF|PM25|Work loss days", US_national_yearly!$D:$AM, 18, FALSE) / VLOOKUP("LULUCF|PM25|Work loss days", US_national_yearly!$D:$AM, 10, FALSE), 1)</f>
        <v>2.3296622043000838E-2</v>
      </c>
      <c r="K15" s="7">
        <f>$B15 * IFERROR(VLOOKUP("LULUCF|PM25|Work loss days", US_national_yearly!$D:$AM, 19, FALSE) / VLOOKUP("LULUCF|PM25|Work loss days", US_national_yearly!$D:$AM, 10, FALSE), 1)</f>
        <v>2.3431651266531531E-2</v>
      </c>
      <c r="L15" s="7">
        <f>$B15 * IFERROR(VLOOKUP("LULUCF|PM25|Work loss days", US_national_yearly!$D:$AM, 20, FALSE) / VLOOKUP("LULUCF|PM25|Work loss days", US_national_yearly!$D:$AM, 10, FALSE), 1)</f>
        <v>2.3566680490062223E-2</v>
      </c>
      <c r="M15" s="7">
        <f>$B15 * IFERROR(VLOOKUP("LULUCF|PM25|Work loss days", US_national_yearly!$D:$AM, 21, FALSE) / VLOOKUP("LULUCF|PM25|Work loss days", US_national_yearly!$D:$AM, 10, FALSE), 1)</f>
        <v>2.3701709713592919E-2</v>
      </c>
      <c r="N15" s="7">
        <f>$B15 * IFERROR(VLOOKUP("LULUCF|PM25|Work loss days", US_national_yearly!$D:$AM, 22, FALSE) / VLOOKUP("LULUCF|PM25|Work loss days", US_national_yearly!$D:$AM, 10, FALSE), 1)</f>
        <v>2.3871654211606336E-2</v>
      </c>
      <c r="O15" s="7">
        <f>$B15 * IFERROR(VLOOKUP("LULUCF|PM25|Work loss days", US_national_yearly!$D:$AM, 23, FALSE) / VLOOKUP("LULUCF|PM25|Work loss days", US_national_yearly!$D:$AM, 10, FALSE), 1)</f>
        <v>2.4041598709619749E-2</v>
      </c>
      <c r="P15" s="7">
        <f>$B15 * IFERROR(VLOOKUP("LULUCF|PM25|Work loss days", US_national_yearly!$D:$AM, 24, FALSE) / VLOOKUP("LULUCF|PM25|Work loss days", US_national_yearly!$D:$AM, 10, FALSE), 1)</f>
        <v>2.4211543207633166E-2</v>
      </c>
      <c r="Q15" s="7">
        <f>$B15 * IFERROR(VLOOKUP("LULUCF|PM25|Work loss days", US_national_yearly!$D:$AM, 25, FALSE) / VLOOKUP("LULUCF|PM25|Work loss days", US_national_yearly!$D:$AM, 10, FALSE), 1)</f>
        <v>2.438148770564658E-2</v>
      </c>
      <c r="R15" s="7">
        <f>$B15 * IFERROR(VLOOKUP("LULUCF|PM25|Work loss days", US_national_yearly!$D:$AM, 26, FALSE) / VLOOKUP("LULUCF|PM25|Work loss days", US_national_yearly!$D:$AM, 10, FALSE), 1)</f>
        <v>2.4551432203659997E-2</v>
      </c>
      <c r="S15" s="7">
        <f>$B15 * IFERROR(VLOOKUP("LULUCF|PM25|Work loss days", US_national_yearly!$D:$AM, 27, FALSE) / VLOOKUP("LULUCF|PM25|Work loss days", US_national_yearly!$D:$AM, 10, FALSE), 1)</f>
        <v>2.473939807398029E-2</v>
      </c>
      <c r="T15" s="7">
        <f>$B15 * IFERROR(VLOOKUP("LULUCF|PM25|Work loss days", US_national_yearly!$D:$AM, 28, FALSE) / VLOOKUP("LULUCF|PM25|Work loss days", US_national_yearly!$D:$AM, 10, FALSE), 1)</f>
        <v>2.4927363944300587E-2</v>
      </c>
      <c r="U15" s="7">
        <f>$B15 * IFERROR(VLOOKUP("LULUCF|PM25|Work loss days", US_national_yearly!$D:$AM, 29, FALSE) / VLOOKUP("LULUCF|PM25|Work loss days", US_national_yearly!$D:$AM, 10, FALSE), 1)</f>
        <v>2.5115329814620873E-2</v>
      </c>
      <c r="V15" s="7">
        <f>$B15 * IFERROR(VLOOKUP("LULUCF|PM25|Work loss days", US_national_yearly!$D:$AM, 30, FALSE) / VLOOKUP("LULUCF|PM25|Work loss days", US_national_yearly!$D:$AM, 10, FALSE), 1)</f>
        <v>2.530329568494117E-2</v>
      </c>
      <c r="W15" s="7">
        <f>$B15 * IFERROR(VLOOKUP("LULUCF|PM25|Work loss days", US_national_yearly!$D:$AM, 31, FALSE) / VLOOKUP("LULUCF|PM25|Work loss days", US_national_yearly!$D:$AM, 10, FALSE), 1)</f>
        <v>2.5491261555261463E-2</v>
      </c>
      <c r="X15" s="7">
        <f>$B15 * IFERROR(VLOOKUP("LULUCF|PM25|Work loss days", US_national_yearly!$D:$AM, 32, FALSE) / VLOOKUP("LULUCF|PM25|Work loss days", US_national_yearly!$D:$AM, 10, FALSE), 1)</f>
        <v>2.5658037977311671E-2</v>
      </c>
      <c r="Y15" s="7">
        <f>$B15 * IFERROR(VLOOKUP("LULUCF|PM25|Work loss days", US_national_yearly!$D:$AM, 33, FALSE) / VLOOKUP("LULUCF|PM25|Work loss days", US_national_yearly!$D:$AM, 10, FALSE), 1)</f>
        <v>2.5824814399361882E-2</v>
      </c>
      <c r="Z15" s="7">
        <f>$B15 * IFERROR(VLOOKUP("LULUCF|PM25|Work loss days", US_national_yearly!$D:$AM, 34, FALSE) / VLOOKUP("LULUCF|PM25|Work loss days", US_national_yearly!$D:$AM, 10, FALSE), 1)</f>
        <v>2.5991590821412097E-2</v>
      </c>
      <c r="AA15" s="7">
        <f>$B15 * IFERROR(VLOOKUP("LULUCF|PM25|Work loss days", US_national_yearly!$D:$AM, 35, FALSE) / VLOOKUP("LULUCF|PM25|Work loss days", US_national_yearly!$D:$AM, 10, FALSE), 1)</f>
        <v>2.6158367243462311E-2</v>
      </c>
      <c r="AB15" s="7">
        <f>$B15 * IFERROR(VLOOKUP("LULUCF|PM25|Work loss days", US_national_yearly!$D:$AM, 36, FALSE) / VLOOKUP("LULUCF|PM25|Work loss days", US_national_yearly!$D:$AM, 10, FALSE), 1)</f>
        <v>2.6325143665512522E-2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5.2483367318825881E-5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5.40516069318491E-5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5.5619846544872325E-5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5.7188086157895558E-5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5.8756325770918784E-5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6.0258419190648926E-5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6.1760512610379103E-5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6.3045185371166974E-5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6.4329858131954832E-5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6.5614530892742703E-5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6.6899203653530588E-5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6.8183876414318459E-5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6.9040397074727485E-5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6.9896917735136539E-5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7.0753438395545565E-5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7.1609959055954619E-5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7.2466479716363645E-5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7.2919659111404288E-5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7.3372838506444916E-5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7.3826017901485545E-5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7.4279197296526174E-5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7.4732376691566803E-5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7.5037463021416381E-5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7.5342549351265945E-5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7.5647635681115523E-5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7.5952722010965101E-5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7.6257808340814679E-5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4.7425914893644763E-4</v>
      </c>
      <c r="C2" s="7">
        <f>$B2 * IFERROR(VLOOKUP("LULUCF|NOx|Premature mortality", US_national_yearly!$D:$AM, 11, FALSE) / VLOOKUP("LULUCF|NOx|Premature mortality", US_national_yearly!$D:$AM, 10, FALSE), 1)</f>
        <v>4.8122521421624538E-4</v>
      </c>
      <c r="D2" s="7">
        <f>$B2 * IFERROR(VLOOKUP("LULUCF|NOx|Premature mortality", US_national_yearly!$D:$AM, 12, FALSE) / VLOOKUP("LULUCF|NOx|Premature mortality", US_national_yearly!$D:$AM, 10, FALSE), 1)</f>
        <v>4.8819127949604308E-4</v>
      </c>
      <c r="E2" s="7">
        <f>$B2 * IFERROR(VLOOKUP("LULUCF|NOx|Premature mortality", US_national_yearly!$D:$AM, 13, FALSE) / VLOOKUP("LULUCF|NOx|Premature mortality", US_national_yearly!$D:$AM, 10, FALSE), 1)</f>
        <v>4.9515734477584077E-4</v>
      </c>
      <c r="F2" s="7">
        <f>$B2 * IFERROR(VLOOKUP("LULUCF|NOx|Premature mortality", US_national_yearly!$D:$AM, 14, FALSE) / VLOOKUP("LULUCF|NOx|Premature mortality", US_national_yearly!$D:$AM, 10, FALSE), 1)</f>
        <v>5.0212341005563858E-4</v>
      </c>
      <c r="G2" s="7">
        <f>$B2 * IFERROR(VLOOKUP("LULUCF|NOx|Premature mortality", US_national_yearly!$D:$AM, 15, FALSE) / VLOOKUP("LULUCF|NOx|Premature mortality", US_national_yearly!$D:$AM, 10, FALSE), 1)</f>
        <v>5.1463611024459639E-4</v>
      </c>
      <c r="H2" s="7">
        <f>$B2 * IFERROR(VLOOKUP("LULUCF|NOx|Premature mortality", US_national_yearly!$D:$AM, 16, FALSE) / VLOOKUP("LULUCF|NOx|Premature mortality", US_national_yearly!$D:$AM, 10, FALSE), 1)</f>
        <v>5.2714881043355443E-4</v>
      </c>
      <c r="I2" s="7">
        <f>$B2 * IFERROR(VLOOKUP("LULUCF|NOx|Premature mortality", US_national_yearly!$D:$AM, 17, FALSE) / VLOOKUP("LULUCF|NOx|Premature mortality", US_national_yearly!$D:$AM, 10, FALSE), 1)</f>
        <v>5.3522599575436933E-4</v>
      </c>
      <c r="J2" s="7">
        <f>$B2 * IFERROR(VLOOKUP("LULUCF|NOx|Premature mortality", US_national_yearly!$D:$AM, 18, FALSE) / VLOOKUP("LULUCF|NOx|Premature mortality", US_national_yearly!$D:$AM, 10, FALSE), 1)</f>
        <v>5.4330318107518444E-4</v>
      </c>
      <c r="K2" s="7">
        <f>$B2 * IFERROR(VLOOKUP("LULUCF|NOx|Premature mortality", US_national_yearly!$D:$AM, 19, FALSE) / VLOOKUP("LULUCF|NOx|Premature mortality", US_national_yearly!$D:$AM, 10, FALSE), 1)</f>
        <v>5.5138036639599934E-4</v>
      </c>
      <c r="L2" s="7">
        <f>$B2 * IFERROR(VLOOKUP("LULUCF|NOx|Premature mortality", US_national_yearly!$D:$AM, 20, FALSE) / VLOOKUP("LULUCF|NOx|Premature mortality", US_national_yearly!$D:$AM, 10, FALSE), 1)</f>
        <v>5.5945755171681434E-4</v>
      </c>
      <c r="M2" s="7">
        <f>$B2 * IFERROR(VLOOKUP("LULUCF|NOx|Premature mortality", US_national_yearly!$D:$AM, 21, FALSE) / VLOOKUP("LULUCF|NOx|Premature mortality", US_national_yearly!$D:$AM, 10, FALSE), 1)</f>
        <v>5.6753473703762935E-4</v>
      </c>
      <c r="N2" s="7">
        <f>$B2 * IFERROR(VLOOKUP("LULUCF|NOx|Premature mortality", US_national_yearly!$D:$AM, 22, FALSE) / VLOOKUP("LULUCF|NOx|Premature mortality", US_national_yearly!$D:$AM, 10, FALSE), 1)</f>
        <v>5.7351828452287821E-4</v>
      </c>
      <c r="O2" s="7">
        <f>$B2 * IFERROR(VLOOKUP("LULUCF|NOx|Premature mortality", US_national_yearly!$D:$AM, 23, FALSE) / VLOOKUP("LULUCF|NOx|Premature mortality", US_national_yearly!$D:$AM, 10, FALSE), 1)</f>
        <v>5.7950183200812706E-4</v>
      </c>
      <c r="P2" s="7">
        <f>$B2 * IFERROR(VLOOKUP("LULUCF|NOx|Premature mortality", US_national_yearly!$D:$AM, 24, FALSE) / VLOOKUP("LULUCF|NOx|Premature mortality", US_national_yearly!$D:$AM, 10, FALSE), 1)</f>
        <v>5.8548537949337592E-4</v>
      </c>
      <c r="Q2" s="7">
        <f>$B2 * IFERROR(VLOOKUP("LULUCF|NOx|Premature mortality", US_national_yearly!$D:$AM, 25, FALSE) / VLOOKUP("LULUCF|NOx|Premature mortality", US_national_yearly!$D:$AM, 10, FALSE), 1)</f>
        <v>5.9146892697862488E-4</v>
      </c>
      <c r="R2" s="7">
        <f>$B2 * IFERROR(VLOOKUP("LULUCF|NOx|Premature mortality", US_national_yearly!$D:$AM, 26, FALSE) / VLOOKUP("LULUCF|NOx|Premature mortality", US_national_yearly!$D:$AM, 10, FALSE), 1)</f>
        <v>5.9745247446387373E-4</v>
      </c>
      <c r="S2" s="7">
        <f>$B2 * IFERROR(VLOOKUP("LULUCF|NOx|Premature mortality", US_national_yearly!$D:$AM, 27, FALSE) / VLOOKUP("LULUCF|NOx|Premature mortality", US_national_yearly!$D:$AM, 10, FALSE), 1)</f>
        <v>6.0017205704944172E-4</v>
      </c>
      <c r="T2" s="7">
        <f>$B2 * IFERROR(VLOOKUP("LULUCF|NOx|Premature mortality", US_national_yearly!$D:$AM, 28, FALSE) / VLOOKUP("LULUCF|NOx|Premature mortality", US_national_yearly!$D:$AM, 10, FALSE), 1)</f>
        <v>6.0289163963500993E-4</v>
      </c>
      <c r="U2" s="7">
        <f>$B2 * IFERROR(VLOOKUP("LULUCF|NOx|Premature mortality", US_national_yearly!$D:$AM, 29, FALSE) / VLOOKUP("LULUCF|NOx|Premature mortality", US_national_yearly!$D:$AM, 10, FALSE), 1)</f>
        <v>6.0561122222057792E-4</v>
      </c>
      <c r="V2" s="7">
        <f>$B2 * IFERROR(VLOOKUP("LULUCF|NOx|Premature mortality", US_national_yearly!$D:$AM, 30, FALSE) / VLOOKUP("LULUCF|NOx|Premature mortality", US_national_yearly!$D:$AM, 10, FALSE), 1)</f>
        <v>6.0833080480614601E-4</v>
      </c>
      <c r="W2" s="7">
        <f>$B2 * IFERROR(VLOOKUP("LULUCF|NOx|Premature mortality", US_national_yearly!$D:$AM, 31, FALSE) / VLOOKUP("LULUCF|NOx|Premature mortality", US_national_yearly!$D:$AM, 10, FALSE), 1)</f>
        <v>6.1105038739171422E-4</v>
      </c>
      <c r="X2" s="7">
        <f>$B2 * IFERROR(VLOOKUP("LULUCF|NOx|Premature mortality", US_national_yearly!$D:$AM, 32, FALSE) / VLOOKUP("LULUCF|NOx|Premature mortality", US_national_yearly!$D:$AM, 10, FALSE), 1)</f>
        <v>6.1114459217142538E-4</v>
      </c>
      <c r="Y2" s="7">
        <f>$B2 * IFERROR(VLOOKUP("LULUCF|NOx|Premature mortality", US_national_yearly!$D:$AM, 33, FALSE) / VLOOKUP("LULUCF|NOx|Premature mortality", US_national_yearly!$D:$AM, 10, FALSE), 1)</f>
        <v>6.1123879695113654E-4</v>
      </c>
      <c r="Z2" s="7">
        <f>$B2 * IFERROR(VLOOKUP("LULUCF|NOx|Premature mortality", US_national_yearly!$D:$AM, 34, FALSE) / VLOOKUP("LULUCF|NOx|Premature mortality", US_national_yearly!$D:$AM, 10, FALSE), 1)</f>
        <v>6.113330017308476E-4</v>
      </c>
      <c r="AA2" s="7">
        <f>$B2 * IFERROR(VLOOKUP("LULUCF|NOx|Premature mortality", US_national_yearly!$D:$AM, 35, FALSE) / VLOOKUP("LULUCF|NOx|Premature mortality", US_national_yearly!$D:$AM, 10, FALSE), 1)</f>
        <v>6.1142720651055898E-4</v>
      </c>
      <c r="AB2" s="7">
        <f>$B2 * IFERROR(VLOOKUP("LULUCF|NOx|Premature mortality", US_national_yearly!$D:$AM, 36, FALSE) / VLOOKUP("LULUCF|NOx|Premature mortality", US_national_yearly!$D:$AM, 10, FALSE), 1)</f>
        <v>6.1152141129027014E-4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1.1907420423165211E-6</v>
      </c>
      <c r="C3" s="7">
        <f>$B3 * IFERROR(VLOOKUP("LULUCF|NOx|Infant mortality", US_national_yearly!$D:$AM, 11, FALSE) / VLOOKUP("LULUCF|NOx|Infant mortality", US_national_yearly!$D:$AM, 10, FALSE), 1)</f>
        <v>1.1793971901592332E-6</v>
      </c>
      <c r="D3" s="7">
        <f>$B3 * IFERROR(VLOOKUP("LULUCF|NOx|Infant mortality", US_national_yearly!$D:$AM, 12, FALSE) / VLOOKUP("LULUCF|NOx|Infant mortality", US_national_yearly!$D:$AM, 10, FALSE), 1)</f>
        <v>1.1680523380019452E-6</v>
      </c>
      <c r="E3" s="7">
        <f>$B3 * IFERROR(VLOOKUP("LULUCF|NOx|Infant mortality", US_national_yearly!$D:$AM, 13, FALSE) / VLOOKUP("LULUCF|NOx|Infant mortality", US_national_yearly!$D:$AM, 10, FALSE), 1)</f>
        <v>1.1567074858446575E-6</v>
      </c>
      <c r="F3" s="7">
        <f>$B3 * IFERROR(VLOOKUP("LULUCF|NOx|Infant mortality", US_national_yearly!$D:$AM, 14, FALSE) / VLOOKUP("LULUCF|NOx|Infant mortality", US_national_yearly!$D:$AM, 10, FALSE), 1)</f>
        <v>1.1453626336873695E-6</v>
      </c>
      <c r="G3" s="7">
        <f>$B3 * IFERROR(VLOOKUP("LULUCF|NOx|Infant mortality", US_national_yearly!$D:$AM, 15, FALSE) / VLOOKUP("LULUCF|NOx|Infant mortality", US_national_yearly!$D:$AM, 10, FALSE), 1)</f>
        <v>7.6034827537401115E-7</v>
      </c>
      <c r="H3" s="7">
        <f>$B3 * IFERROR(VLOOKUP("LULUCF|NOx|Infant mortality", US_national_yearly!$D:$AM, 16, FALSE) / VLOOKUP("LULUCF|NOx|Infant mortality", US_national_yearly!$D:$AM, 10, FALSE), 1)</f>
        <v>3.7533391706065283E-7</v>
      </c>
      <c r="I3" s="7">
        <f>$B3 * IFERROR(VLOOKUP("LULUCF|NOx|Infant mortality", US_national_yearly!$D:$AM, 17, FALSE) / VLOOKUP("LULUCF|NOx|Infant mortality", US_national_yearly!$D:$AM, 10, FALSE), 1)</f>
        <v>3.7267994789674964E-7</v>
      </c>
      <c r="J3" s="7">
        <f>$B3 * IFERROR(VLOOKUP("LULUCF|NOx|Infant mortality", US_national_yearly!$D:$AM, 18, FALSE) / VLOOKUP("LULUCF|NOx|Infant mortality", US_national_yearly!$D:$AM, 10, FALSE), 1)</f>
        <v>3.700259787328464E-7</v>
      </c>
      <c r="K3" s="7">
        <f>$B3 * IFERROR(VLOOKUP("LULUCF|NOx|Infant mortality", US_national_yearly!$D:$AM, 19, FALSE) / VLOOKUP("LULUCF|NOx|Infant mortality", US_national_yearly!$D:$AM, 10, FALSE), 1)</f>
        <v>3.6737200956894326E-7</v>
      </c>
      <c r="L3" s="7">
        <f>$B3 * IFERROR(VLOOKUP("LULUCF|NOx|Infant mortality", US_national_yearly!$D:$AM, 20, FALSE) / VLOOKUP("LULUCF|NOx|Infant mortality", US_national_yearly!$D:$AM, 10, FALSE), 1)</f>
        <v>3.6471804040504007E-7</v>
      </c>
      <c r="M3" s="7">
        <f>$B3 * IFERROR(VLOOKUP("LULUCF|NOx|Infant mortality", US_national_yearly!$D:$AM, 21, FALSE) / VLOOKUP("LULUCF|NOx|Infant mortality", US_national_yearly!$D:$AM, 10, FALSE), 1)</f>
        <v>3.6206407124113683E-7</v>
      </c>
      <c r="N3" s="7">
        <f>$B3 * IFERROR(VLOOKUP("LULUCF|NOx|Infant mortality", US_national_yearly!$D:$AM, 22, FALSE) / VLOOKUP("LULUCF|NOx|Infant mortality", US_national_yearly!$D:$AM, 10, FALSE), 1)</f>
        <v>3.6030247747918279E-7</v>
      </c>
      <c r="O3" s="7">
        <f>$B3 * IFERROR(VLOOKUP("LULUCF|NOx|Infant mortality", US_national_yearly!$D:$AM, 23, FALSE) / VLOOKUP("LULUCF|NOx|Infant mortality", US_national_yearly!$D:$AM, 10, FALSE), 1)</f>
        <v>3.585408837172287E-7</v>
      </c>
      <c r="P3" s="7">
        <f>$B3 * IFERROR(VLOOKUP("LULUCF|NOx|Infant mortality", US_national_yearly!$D:$AM, 24, FALSE) / VLOOKUP("LULUCF|NOx|Infant mortality", US_national_yearly!$D:$AM, 10, FALSE), 1)</f>
        <v>3.5677928995527461E-7</v>
      </c>
      <c r="Q3" s="7">
        <f>$B3 * IFERROR(VLOOKUP("LULUCF|NOx|Infant mortality", US_national_yearly!$D:$AM, 25, FALSE) / VLOOKUP("LULUCF|NOx|Infant mortality", US_national_yearly!$D:$AM, 10, FALSE), 1)</f>
        <v>3.5501769619332057E-7</v>
      </c>
      <c r="R3" s="7">
        <f>$B3 * IFERROR(VLOOKUP("LULUCF|NOx|Infant mortality", US_national_yearly!$D:$AM, 26, FALSE) / VLOOKUP("LULUCF|NOx|Infant mortality", US_national_yearly!$D:$AM, 10, FALSE), 1)</f>
        <v>3.5325610243136648E-7</v>
      </c>
      <c r="S3" s="7">
        <f>$B3 * IFERROR(VLOOKUP("LULUCF|NOx|Infant mortality", US_national_yearly!$D:$AM, 27, FALSE) / VLOOKUP("LULUCF|NOx|Infant mortality", US_national_yearly!$D:$AM, 10, FALSE), 1)</f>
        <v>3.5113838659411825E-7</v>
      </c>
      <c r="T3" s="7">
        <f>$B3 * IFERROR(VLOOKUP("LULUCF|NOx|Infant mortality", US_national_yearly!$D:$AM, 28, FALSE) / VLOOKUP("LULUCF|NOx|Infant mortality", US_national_yearly!$D:$AM, 10, FALSE), 1)</f>
        <v>3.4902067075687003E-7</v>
      </c>
      <c r="U3" s="7">
        <f>$B3 * IFERROR(VLOOKUP("LULUCF|NOx|Infant mortality", US_national_yearly!$D:$AM, 29, FALSE) / VLOOKUP("LULUCF|NOx|Infant mortality", US_national_yearly!$D:$AM, 10, FALSE), 1)</f>
        <v>3.4690295491962175E-7</v>
      </c>
      <c r="V3" s="7">
        <f>$B3 * IFERROR(VLOOKUP("LULUCF|NOx|Infant mortality", US_national_yearly!$D:$AM, 30, FALSE) / VLOOKUP("LULUCF|NOx|Infant mortality", US_national_yearly!$D:$AM, 10, FALSE), 1)</f>
        <v>3.4478523908237352E-7</v>
      </c>
      <c r="W3" s="7">
        <f>$B3 * IFERROR(VLOOKUP("LULUCF|NOx|Infant mortality", US_national_yearly!$D:$AM, 31, FALSE) / VLOOKUP("LULUCF|NOx|Infant mortality", US_national_yearly!$D:$AM, 10, FALSE), 1)</f>
        <v>3.426675232451253E-7</v>
      </c>
      <c r="X3" s="7">
        <f>$B3 * IFERROR(VLOOKUP("LULUCF|NOx|Infant mortality", US_national_yearly!$D:$AM, 32, FALSE) / VLOOKUP("LULUCF|NOx|Infant mortality", US_national_yearly!$D:$AM, 10, FALSE), 1)</f>
        <v>3.4042475976492129E-7</v>
      </c>
      <c r="Y3" s="7">
        <f>$B3 * IFERROR(VLOOKUP("LULUCF|NOx|Infant mortality", US_national_yearly!$D:$AM, 33, FALSE) / VLOOKUP("LULUCF|NOx|Infant mortality", US_national_yearly!$D:$AM, 10, FALSE), 1)</f>
        <v>3.3818199628471722E-7</v>
      </c>
      <c r="Z3" s="7">
        <f>$B3 * IFERROR(VLOOKUP("LULUCF|NOx|Infant mortality", US_national_yearly!$D:$AM, 34, FALSE) / VLOOKUP("LULUCF|NOx|Infant mortality", US_national_yearly!$D:$AM, 10, FALSE), 1)</f>
        <v>3.3593923280451316E-7</v>
      </c>
      <c r="AA3" s="7">
        <f>$B3 * IFERROR(VLOOKUP("LULUCF|NOx|Infant mortality", US_national_yearly!$D:$AM, 35, FALSE) / VLOOKUP("LULUCF|NOx|Infant mortality", US_national_yearly!$D:$AM, 10, FALSE), 1)</f>
        <v>3.3369646932430915E-7</v>
      </c>
      <c r="AB3" s="7">
        <f>$B3 * IFERROR(VLOOKUP("LULUCF|NOx|Infant mortality", US_national_yearly!$D:$AM, 36, FALSE) / VLOOKUP("LULUCF|NOx|Infant mortality", US_national_yearly!$D:$AM, 10, FALSE), 1)</f>
        <v>3.3145370584410509E-7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1.0666121697491808E-3</v>
      </c>
      <c r="C6" s="7">
        <f>$B6 * IFERROR(VLOOKUP("LULUCF|NOx|Asthma symptoms cough", US_national_yearly!$D:$AM, 11, FALSE) / VLOOKUP("LULUCF|NOx|Asthma symptoms cough", US_national_yearly!$D:$AM, 10, FALSE), 1)</f>
        <v>1.0811945019515202E-3</v>
      </c>
      <c r="D6" s="7">
        <f>$B6 * IFERROR(VLOOKUP("LULUCF|NOx|Asthma symptoms cough", US_national_yearly!$D:$AM, 12, FALSE) / VLOOKUP("LULUCF|NOx|Asthma symptoms cough", US_national_yearly!$D:$AM, 10, FALSE), 1)</f>
        <v>1.0957768341538598E-3</v>
      </c>
      <c r="E6" s="7">
        <f>$B6 * IFERROR(VLOOKUP("LULUCF|NOx|Asthma symptoms cough", US_national_yearly!$D:$AM, 13, FALSE) / VLOOKUP("LULUCF|NOx|Asthma symptoms cough", US_national_yearly!$D:$AM, 10, FALSE), 1)</f>
        <v>1.1103591663561992E-3</v>
      </c>
      <c r="F6" s="7">
        <f>$B6 * IFERROR(VLOOKUP("LULUCF|NOx|Asthma symptoms cough", US_national_yearly!$D:$AM, 14, FALSE) / VLOOKUP("LULUCF|NOx|Asthma symptoms cough", US_national_yearly!$D:$AM, 10, FALSE), 1)</f>
        <v>1.1249414985585388E-3</v>
      </c>
      <c r="G6" s="7">
        <f>$B6 * IFERROR(VLOOKUP("LULUCF|NOx|Asthma symptoms cough", US_national_yearly!$D:$AM, 15, FALSE) / VLOOKUP("LULUCF|NOx|Asthma symptoms cough", US_national_yearly!$D:$AM, 10, FALSE), 1)</f>
        <v>1.1365834530788507E-3</v>
      </c>
      <c r="H6" s="7">
        <f>$B6 * IFERROR(VLOOKUP("LULUCF|NOx|Asthma symptoms cough", US_national_yearly!$D:$AM, 16, FALSE) / VLOOKUP("LULUCF|NOx|Asthma symptoms cough", US_national_yearly!$D:$AM, 10, FALSE), 1)</f>
        <v>1.1482254075991627E-3</v>
      </c>
      <c r="I6" s="7">
        <f>$B6 * IFERROR(VLOOKUP("LULUCF|NOx|Asthma symptoms cough", US_national_yearly!$D:$AM, 17, FALSE) / VLOOKUP("LULUCF|NOx|Asthma symptoms cough", US_national_yearly!$D:$AM, 10, FALSE), 1)</f>
        <v>1.1522324019145676E-3</v>
      </c>
      <c r="J6" s="7">
        <f>$B6 * IFERROR(VLOOKUP("LULUCF|NOx|Asthma symptoms cough", US_national_yearly!$D:$AM, 18, FALSE) / VLOOKUP("LULUCF|NOx|Asthma symptoms cough", US_national_yearly!$D:$AM, 10, FALSE), 1)</f>
        <v>1.1562393962299725E-3</v>
      </c>
      <c r="K6" s="7">
        <f>$B6 * IFERROR(VLOOKUP("LULUCF|NOx|Asthma symptoms cough", US_national_yearly!$D:$AM, 19, FALSE) / VLOOKUP("LULUCF|NOx|Asthma symptoms cough", US_national_yearly!$D:$AM, 10, FALSE), 1)</f>
        <v>1.1602463905453773E-3</v>
      </c>
      <c r="L6" s="7">
        <f>$B6 * IFERROR(VLOOKUP("LULUCF|NOx|Asthma symptoms cough", US_national_yearly!$D:$AM, 20, FALSE) / VLOOKUP("LULUCF|NOx|Asthma symptoms cough", US_national_yearly!$D:$AM, 10, FALSE), 1)</f>
        <v>1.164253384860782E-3</v>
      </c>
      <c r="M6" s="7">
        <f>$B6 * IFERROR(VLOOKUP("LULUCF|NOx|Asthma symptoms cough", US_national_yearly!$D:$AM, 21, FALSE) / VLOOKUP("LULUCF|NOx|Asthma symptoms cough", US_national_yearly!$D:$AM, 10, FALSE), 1)</f>
        <v>1.1682603791761869E-3</v>
      </c>
      <c r="N6" s="7">
        <f>$B6 * IFERROR(VLOOKUP("LULUCF|NOx|Asthma symptoms cough", US_national_yearly!$D:$AM, 22, FALSE) / VLOOKUP("LULUCF|NOx|Asthma symptoms cough", US_national_yearly!$D:$AM, 10, FALSE), 1)</f>
        <v>1.172906787474825E-3</v>
      </c>
      <c r="O6" s="7">
        <f>$B6 * IFERROR(VLOOKUP("LULUCF|NOx|Asthma symptoms cough", US_national_yearly!$D:$AM, 23, FALSE) / VLOOKUP("LULUCF|NOx|Asthma symptoms cough", US_national_yearly!$D:$AM, 10, FALSE), 1)</f>
        <v>1.1775531957734628E-3</v>
      </c>
      <c r="P6" s="7">
        <f>$B6 * IFERROR(VLOOKUP("LULUCF|NOx|Asthma symptoms cough", US_national_yearly!$D:$AM, 24, FALSE) / VLOOKUP("LULUCF|NOx|Asthma symptoms cough", US_national_yearly!$D:$AM, 10, FALSE), 1)</f>
        <v>1.1821996040721008E-3</v>
      </c>
      <c r="Q6" s="7">
        <f>$B6 * IFERROR(VLOOKUP("LULUCF|NOx|Asthma symptoms cough", US_national_yearly!$D:$AM, 25, FALSE) / VLOOKUP("LULUCF|NOx|Asthma symptoms cough", US_national_yearly!$D:$AM, 10, FALSE), 1)</f>
        <v>1.1868460123707388E-3</v>
      </c>
      <c r="R6" s="7">
        <f>$B6 * IFERROR(VLOOKUP("LULUCF|NOx|Asthma symptoms cough", US_national_yearly!$D:$AM, 26, FALSE) / VLOOKUP("LULUCF|NOx|Asthma symptoms cough", US_national_yearly!$D:$AM, 10, FALSE), 1)</f>
        <v>1.1914924206693769E-3</v>
      </c>
      <c r="S6" s="7">
        <f>$B6 * IFERROR(VLOOKUP("LULUCF|NOx|Asthma symptoms cough", US_national_yearly!$D:$AM, 27, FALSE) / VLOOKUP("LULUCF|NOx|Asthma symptoms cough", US_national_yearly!$D:$AM, 10, FALSE), 1)</f>
        <v>1.1975621097774754E-3</v>
      </c>
      <c r="T6" s="7">
        <f>$B6 * IFERROR(VLOOKUP("LULUCF|NOx|Asthma symptoms cough", US_national_yearly!$D:$AM, 28, FALSE) / VLOOKUP("LULUCF|NOx|Asthma symptoms cough", US_national_yearly!$D:$AM, 10, FALSE), 1)</f>
        <v>1.2036317988855737E-3</v>
      </c>
      <c r="U6" s="7">
        <f>$B6 * IFERROR(VLOOKUP("LULUCF|NOx|Asthma symptoms cough", US_national_yearly!$D:$AM, 29, FALSE) / VLOOKUP("LULUCF|NOx|Asthma symptoms cough", US_national_yearly!$D:$AM, 10, FALSE), 1)</f>
        <v>1.2097014879936718E-3</v>
      </c>
      <c r="V6" s="7">
        <f>$B6 * IFERROR(VLOOKUP("LULUCF|NOx|Asthma symptoms cough", US_national_yearly!$D:$AM, 30, FALSE) / VLOOKUP("LULUCF|NOx|Asthma symptoms cough", US_national_yearly!$D:$AM, 10, FALSE), 1)</f>
        <v>1.2157711771017704E-3</v>
      </c>
      <c r="W6" s="7">
        <f>$B6 * IFERROR(VLOOKUP("LULUCF|NOx|Asthma symptoms cough", US_national_yearly!$D:$AM, 31, FALSE) / VLOOKUP("LULUCF|NOx|Asthma symptoms cough", US_national_yearly!$D:$AM, 10, FALSE), 1)</f>
        <v>1.2218408662098687E-3</v>
      </c>
      <c r="X6" s="7">
        <f>$B6 * IFERROR(VLOOKUP("LULUCF|NOx|Asthma symptoms cough", US_national_yearly!$D:$AM, 32, FALSE) / VLOOKUP("LULUCF|NOx|Asthma symptoms cough", US_national_yearly!$D:$AM, 10, FALSE), 1)</f>
        <v>1.2274804795178959E-3</v>
      </c>
      <c r="Y6" s="7">
        <f>$B6 * IFERROR(VLOOKUP("LULUCF|NOx|Asthma symptoms cough", US_national_yearly!$D:$AM, 33, FALSE) / VLOOKUP("LULUCF|NOx|Asthma symptoms cough", US_national_yearly!$D:$AM, 10, FALSE), 1)</f>
        <v>1.233120092825923E-3</v>
      </c>
      <c r="Z6" s="7">
        <f>$B6 * IFERROR(VLOOKUP("LULUCF|NOx|Asthma symptoms cough", US_national_yearly!$D:$AM, 34, FALSE) / VLOOKUP("LULUCF|NOx|Asthma symptoms cough", US_national_yearly!$D:$AM, 10, FALSE), 1)</f>
        <v>1.2387597061339502E-3</v>
      </c>
      <c r="AA6" s="7">
        <f>$B6 * IFERROR(VLOOKUP("LULUCF|NOx|Asthma symptoms cough", US_national_yearly!$D:$AM, 35, FALSE) / VLOOKUP("LULUCF|NOx|Asthma symptoms cough", US_national_yearly!$D:$AM, 10, FALSE), 1)</f>
        <v>1.2443993194419774E-3</v>
      </c>
      <c r="AB6" s="7">
        <f>$B6 * IFERROR(VLOOKUP("LULUCF|NOx|Asthma symptoms cough", US_national_yearly!$D:$AM, 36, FALSE) / VLOOKUP("LULUCF|NOx|Asthma symptoms cough", US_national_yearly!$D:$AM, 10, FALSE), 1)</f>
        <v>1.2500389327500048E-3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1.4363384007172921E-3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1.4559754949600629E-3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1.4756125892028335E-3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1.4952496834456045E-3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1.5148867776883753E-3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1.5305642533290774E-3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1.5462417289697794E-3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1.5516376919371504E-3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1.5570336549045217E-3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1.5624296178718927E-3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1.5678255808392637E-3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1.5732215438066348E-3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1.5794785647111115E-3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1.5857355856155881E-3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1.5919926065200646E-3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1.5982496274245413E-3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1.604506648329018E-3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1.6126803104995614E-3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1.6208539726701053E-3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1.6290276348406487E-3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1.6372012970111919E-3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1.6453749591817354E-3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1.6529694657702917E-3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1.6605639723588481E-3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1.6681584789474048E-3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1.6757529855359612E-3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1.6833474921245178E-3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2.1945160904849057E-3</v>
      </c>
      <c r="C8" s="7">
        <f>$B8 * IFERROR(VLOOKUP("LULUCF|NOx|Asthma symptoms wheeze", US_national_yearly!$D:$AM, 11, FALSE) / VLOOKUP("LULUCF|NOx|Asthma symptoms wheeze", US_national_yearly!$D:$AM, 10, FALSE), 1)</f>
        <v>2.2245187133749888E-3</v>
      </c>
      <c r="D8" s="7">
        <f>$B8 * IFERROR(VLOOKUP("LULUCF|NOx|Asthma symptoms wheeze", US_national_yearly!$D:$AM, 12, FALSE) / VLOOKUP("LULUCF|NOx|Asthma symptoms wheeze", US_national_yearly!$D:$AM, 10, FALSE), 1)</f>
        <v>2.2545213362650733E-3</v>
      </c>
      <c r="E8" s="7">
        <f>$B8 * IFERROR(VLOOKUP("LULUCF|NOx|Asthma symptoms wheeze", US_national_yearly!$D:$AM, 13, FALSE) / VLOOKUP("LULUCF|NOx|Asthma symptoms wheeze", US_national_yearly!$D:$AM, 10, FALSE), 1)</f>
        <v>2.2845239591551565E-3</v>
      </c>
      <c r="F8" s="7">
        <f>$B8 * IFERROR(VLOOKUP("LULUCF|NOx|Asthma symptoms wheeze", US_national_yearly!$D:$AM, 14, FALSE) / VLOOKUP("LULUCF|NOx|Asthma symptoms wheeze", US_national_yearly!$D:$AM, 10, FALSE), 1)</f>
        <v>2.3145265820452396E-3</v>
      </c>
      <c r="G8" s="7">
        <f>$B8 * IFERROR(VLOOKUP("LULUCF|NOx|Asthma symptoms wheeze", US_national_yearly!$D:$AM, 15, FALSE) / VLOOKUP("LULUCF|NOx|Asthma symptoms wheeze", US_national_yearly!$D:$AM, 10, FALSE), 1)</f>
        <v>2.3384794838575162E-3</v>
      </c>
      <c r="H8" s="7">
        <f>$B8 * IFERROR(VLOOKUP("LULUCF|NOx|Asthma symptoms wheeze", US_national_yearly!$D:$AM, 16, FALSE) / VLOOKUP("LULUCF|NOx|Asthma symptoms wheeze", US_national_yearly!$D:$AM, 10, FALSE), 1)</f>
        <v>2.3624323856697924E-3</v>
      </c>
      <c r="I8" s="7">
        <f>$B8 * IFERROR(VLOOKUP("LULUCF|NOx|Asthma symptoms wheeze", US_national_yearly!$D:$AM, 17, FALSE) / VLOOKUP("LULUCF|NOx|Asthma symptoms wheeze", US_national_yearly!$D:$AM, 10, FALSE), 1)</f>
        <v>2.370676632079299E-3</v>
      </c>
      <c r="J8" s="7">
        <f>$B8 * IFERROR(VLOOKUP("LULUCF|NOx|Asthma symptoms wheeze", US_national_yearly!$D:$AM, 18, FALSE) / VLOOKUP("LULUCF|NOx|Asthma symptoms wheeze", US_national_yearly!$D:$AM, 10, FALSE), 1)</f>
        <v>2.3789208784888057E-3</v>
      </c>
      <c r="K8" s="7">
        <f>$B8 * IFERROR(VLOOKUP("LULUCF|NOx|Asthma symptoms wheeze", US_national_yearly!$D:$AM, 19, FALSE) / VLOOKUP("LULUCF|NOx|Asthma symptoms wheeze", US_national_yearly!$D:$AM, 10, FALSE), 1)</f>
        <v>2.3871651248983119E-3</v>
      </c>
      <c r="L8" s="7">
        <f>$B8 * IFERROR(VLOOKUP("LULUCF|NOx|Asthma symptoms wheeze", US_national_yearly!$D:$AM, 20, FALSE) / VLOOKUP("LULUCF|NOx|Asthma symptoms wheeze", US_national_yearly!$D:$AM, 10, FALSE), 1)</f>
        <v>2.3954093713078185E-3</v>
      </c>
      <c r="M8" s="7">
        <f>$B8 * IFERROR(VLOOKUP("LULUCF|NOx|Asthma symptoms wheeze", US_national_yearly!$D:$AM, 21, FALSE) / VLOOKUP("LULUCF|NOx|Asthma symptoms wheeze", US_national_yearly!$D:$AM, 10, FALSE), 1)</f>
        <v>2.4036536177173252E-3</v>
      </c>
      <c r="N8" s="7">
        <f>$B8 * IFERROR(VLOOKUP("LULUCF|NOx|Asthma symptoms wheeze", US_national_yearly!$D:$AM, 22, FALSE) / VLOOKUP("LULUCF|NOx|Asthma symptoms wheeze", US_national_yearly!$D:$AM, 10, FALSE), 1)</f>
        <v>2.4132134353594824E-3</v>
      </c>
      <c r="O8" s="7">
        <f>$B8 * IFERROR(VLOOKUP("LULUCF|NOx|Asthma symptoms wheeze", US_national_yearly!$D:$AM, 23, FALSE) / VLOOKUP("LULUCF|NOx|Asthma symptoms wheeze", US_national_yearly!$D:$AM, 10, FALSE), 1)</f>
        <v>2.4227732530016401E-3</v>
      </c>
      <c r="P8" s="7">
        <f>$B8 * IFERROR(VLOOKUP("LULUCF|NOx|Asthma symptoms wheeze", US_national_yearly!$D:$AM, 24, FALSE) / VLOOKUP("LULUCF|NOx|Asthma symptoms wheeze", US_national_yearly!$D:$AM, 10, FALSE), 1)</f>
        <v>2.4323330706437973E-3</v>
      </c>
      <c r="Q8" s="7">
        <f>$B8 * IFERROR(VLOOKUP("LULUCF|NOx|Asthma symptoms wheeze", US_national_yearly!$D:$AM, 25, FALSE) / VLOOKUP("LULUCF|NOx|Asthma symptoms wheeze", US_national_yearly!$D:$AM, 10, FALSE), 1)</f>
        <v>2.441892888285955E-3</v>
      </c>
      <c r="R8" s="7">
        <f>$B8 * IFERROR(VLOOKUP("LULUCF|NOx|Asthma symptoms wheeze", US_national_yearly!$D:$AM, 26, FALSE) / VLOOKUP("LULUCF|NOx|Asthma symptoms wheeze", US_national_yearly!$D:$AM, 10, FALSE), 1)</f>
        <v>2.4514527059281122E-3</v>
      </c>
      <c r="S8" s="7">
        <f>$B8 * IFERROR(VLOOKUP("LULUCF|NOx|Asthma symptoms wheeze", US_national_yearly!$D:$AM, 27, FALSE) / VLOOKUP("LULUCF|NOx|Asthma symptoms wheeze", US_national_yearly!$D:$AM, 10, FALSE), 1)</f>
        <v>2.4639408725407293E-3</v>
      </c>
      <c r="T8" s="7">
        <f>$B8 * IFERROR(VLOOKUP("LULUCF|NOx|Asthma symptoms wheeze", US_national_yearly!$D:$AM, 28, FALSE) / VLOOKUP("LULUCF|NOx|Asthma symptoms wheeze", US_national_yearly!$D:$AM, 10, FALSE), 1)</f>
        <v>2.476429039153346E-3</v>
      </c>
      <c r="U8" s="7">
        <f>$B8 * IFERROR(VLOOKUP("LULUCF|NOx|Asthma symptoms wheeze", US_national_yearly!$D:$AM, 29, FALSE) / VLOOKUP("LULUCF|NOx|Asthma symptoms wheeze", US_national_yearly!$D:$AM, 10, FALSE), 1)</f>
        <v>2.4889172057659631E-3</v>
      </c>
      <c r="V8" s="7">
        <f>$B8 * IFERROR(VLOOKUP("LULUCF|NOx|Asthma symptoms wheeze", US_national_yearly!$D:$AM, 30, FALSE) / VLOOKUP("LULUCF|NOx|Asthma symptoms wheeze", US_national_yearly!$D:$AM, 10, FALSE), 1)</f>
        <v>2.5014053723785806E-3</v>
      </c>
      <c r="W8" s="7">
        <f>$B8 * IFERROR(VLOOKUP("LULUCF|NOx|Asthma symptoms wheeze", US_national_yearly!$D:$AM, 31, FALSE) / VLOOKUP("LULUCF|NOx|Asthma symptoms wheeze", US_national_yearly!$D:$AM, 10, FALSE), 1)</f>
        <v>2.5138935389911973E-3</v>
      </c>
      <c r="X8" s="7">
        <f>$B8 * IFERROR(VLOOKUP("LULUCF|NOx|Asthma symptoms wheeze", US_national_yearly!$D:$AM, 32, FALSE) / VLOOKUP("LULUCF|NOx|Asthma symptoms wheeze", US_national_yearly!$D:$AM, 10, FALSE), 1)</f>
        <v>2.5254968401394358E-3</v>
      </c>
      <c r="Y8" s="7">
        <f>$B8 * IFERROR(VLOOKUP("LULUCF|NOx|Asthma symptoms wheeze", US_national_yearly!$D:$AM, 33, FALSE) / VLOOKUP("LULUCF|NOx|Asthma symptoms wheeze", US_national_yearly!$D:$AM, 10, FALSE), 1)</f>
        <v>2.5371001412876734E-3</v>
      </c>
      <c r="Z8" s="7">
        <f>$B8 * IFERROR(VLOOKUP("LULUCF|NOx|Asthma symptoms wheeze", US_national_yearly!$D:$AM, 34, FALSE) / VLOOKUP("LULUCF|NOx|Asthma symptoms wheeze", US_national_yearly!$D:$AM, 10, FALSE), 1)</f>
        <v>2.5487034424359119E-3</v>
      </c>
      <c r="AA8" s="7">
        <f>$B8 * IFERROR(VLOOKUP("LULUCF|NOx|Asthma symptoms wheeze", US_national_yearly!$D:$AM, 35, FALSE) / VLOOKUP("LULUCF|NOx|Asthma symptoms wheeze", US_national_yearly!$D:$AM, 10, FALSE), 1)</f>
        <v>2.5603067435841496E-3</v>
      </c>
      <c r="AB8" s="7">
        <f>$B8 * IFERROR(VLOOKUP("LULUCF|NOx|Asthma symptoms wheeze", US_national_yearly!$D:$AM, 36, FALSE) / VLOOKUP("LULUCF|NOx|Asthma symptoms wheeze", US_national_yearly!$D:$AM, 10, FALSE), 1)</f>
        <v>2.5719100447323881E-3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3.43772505531868E-5</v>
      </c>
      <c r="C12" s="7">
        <f>$B12 * IFERROR(VLOOKUP("LULUCF|NOx|Respiratory hospital admissions", US_national_yearly!$D:$AM, 11, FALSE) / VLOOKUP("LULUCF|NOx|Respiratory hospital admissions", US_national_yearly!$D:$AM, 10, FALSE), 1)</f>
        <v>3.5234779541633056E-5</v>
      </c>
      <c r="D12" s="7">
        <f>$B12 * IFERROR(VLOOKUP("LULUCF|NOx|Respiratory hospital admissions", US_national_yearly!$D:$AM, 12, FALSE) / VLOOKUP("LULUCF|NOx|Respiratory hospital admissions", US_national_yearly!$D:$AM, 10, FALSE), 1)</f>
        <v>3.6092308530079312E-5</v>
      </c>
      <c r="E12" s="7">
        <f>$B12 * IFERROR(VLOOKUP("LULUCF|NOx|Respiratory hospital admissions", US_national_yearly!$D:$AM, 13, FALSE) / VLOOKUP("LULUCF|NOx|Respiratory hospital admissions", US_national_yearly!$D:$AM, 10, FALSE), 1)</f>
        <v>3.6949837518525575E-5</v>
      </c>
      <c r="F12" s="7">
        <f>$B12 * IFERROR(VLOOKUP("LULUCF|NOx|Respiratory hospital admissions", US_national_yearly!$D:$AM, 14, FALSE) / VLOOKUP("LULUCF|NOx|Respiratory hospital admissions", US_national_yearly!$D:$AM, 10, FALSE), 1)</f>
        <v>3.7807366506971832E-5</v>
      </c>
      <c r="G12" s="7">
        <f>$B12 * IFERROR(VLOOKUP("LULUCF|NOx|Respiratory hospital admissions", US_national_yearly!$D:$AM, 15, FALSE) / VLOOKUP("LULUCF|NOx|Respiratory hospital admissions", US_national_yearly!$D:$AM, 10, FALSE), 1)</f>
        <v>3.8627193406738963E-5</v>
      </c>
      <c r="H12" s="7">
        <f>$B12 * IFERROR(VLOOKUP("LULUCF|NOx|Respiratory hospital admissions", US_national_yearly!$D:$AM, 16, FALSE) / VLOOKUP("LULUCF|NOx|Respiratory hospital admissions", US_national_yearly!$D:$AM, 10, FALSE), 1)</f>
        <v>3.9447020306506094E-5</v>
      </c>
      <c r="I12" s="7">
        <f>$B12 * IFERROR(VLOOKUP("LULUCF|NOx|Respiratory hospital admissions", US_national_yearly!$D:$AM, 17, FALSE) / VLOOKUP("LULUCF|NOx|Respiratory hospital admissions", US_national_yearly!$D:$AM, 10, FALSE), 1)</f>
        <v>4.0143070198343813E-5</v>
      </c>
      <c r="J12" s="7">
        <f>$B12 * IFERROR(VLOOKUP("LULUCF|NOx|Respiratory hospital admissions", US_national_yearly!$D:$AM, 18, FALSE) / VLOOKUP("LULUCF|NOx|Respiratory hospital admissions", US_national_yearly!$D:$AM, 10, FALSE), 1)</f>
        <v>4.0839120090181526E-5</v>
      </c>
      <c r="K12" s="7">
        <f>$B12 * IFERROR(VLOOKUP("LULUCF|NOx|Respiratory hospital admissions", US_national_yearly!$D:$AM, 19, FALSE) / VLOOKUP("LULUCF|NOx|Respiratory hospital admissions", US_national_yearly!$D:$AM, 10, FALSE), 1)</f>
        <v>4.1535169982019245E-5</v>
      </c>
      <c r="L12" s="7">
        <f>$B12 * IFERROR(VLOOKUP("LULUCF|NOx|Respiratory hospital admissions", US_national_yearly!$D:$AM, 20, FALSE) / VLOOKUP("LULUCF|NOx|Respiratory hospital admissions", US_national_yearly!$D:$AM, 10, FALSE), 1)</f>
        <v>4.2231219873856965E-5</v>
      </c>
      <c r="M12" s="7">
        <f>$B12 * IFERROR(VLOOKUP("LULUCF|NOx|Respiratory hospital admissions", US_national_yearly!$D:$AM, 21, FALSE) / VLOOKUP("LULUCF|NOx|Respiratory hospital admissions", US_national_yearly!$D:$AM, 10, FALSE), 1)</f>
        <v>4.2927269765694684E-5</v>
      </c>
      <c r="N12" s="7">
        <f>$B12 * IFERROR(VLOOKUP("LULUCF|NOx|Respiratory hospital admissions", US_national_yearly!$D:$AM, 22, FALSE) / VLOOKUP("LULUCF|NOx|Respiratory hospital admissions", US_national_yearly!$D:$AM, 10, FALSE), 1)</f>
        <v>4.3392591650459786E-5</v>
      </c>
      <c r="O12" s="7">
        <f>$B12 * IFERROR(VLOOKUP("LULUCF|NOx|Respiratory hospital admissions", US_national_yearly!$D:$AM, 23, FALSE) / VLOOKUP("LULUCF|NOx|Respiratory hospital admissions", US_national_yearly!$D:$AM, 10, FALSE), 1)</f>
        <v>4.3857913535224901E-5</v>
      </c>
      <c r="P12" s="7">
        <f>$B12 * IFERROR(VLOOKUP("LULUCF|NOx|Respiratory hospital admissions", US_national_yearly!$D:$AM, 24, FALSE) / VLOOKUP("LULUCF|NOx|Respiratory hospital admissions", US_national_yearly!$D:$AM, 10, FALSE), 1)</f>
        <v>4.432323541999001E-5</v>
      </c>
      <c r="Q12" s="7">
        <f>$B12 * IFERROR(VLOOKUP("LULUCF|NOx|Respiratory hospital admissions", US_national_yearly!$D:$AM, 25, FALSE) / VLOOKUP("LULUCF|NOx|Respiratory hospital admissions", US_national_yearly!$D:$AM, 10, FALSE), 1)</f>
        <v>4.4788557304755132E-5</v>
      </c>
      <c r="R12" s="7">
        <f>$B12 * IFERROR(VLOOKUP("LULUCF|NOx|Respiratory hospital admissions", US_national_yearly!$D:$AM, 26, FALSE) / VLOOKUP("LULUCF|NOx|Respiratory hospital admissions", US_national_yearly!$D:$AM, 10, FALSE), 1)</f>
        <v>4.525387918952024E-5</v>
      </c>
      <c r="S12" s="7">
        <f>$B12 * IFERROR(VLOOKUP("LULUCF|NOx|Respiratory hospital admissions", US_national_yearly!$D:$AM, 27, FALSE) / VLOOKUP("LULUCF|NOx|Respiratory hospital admissions", US_national_yearly!$D:$AM, 10, FALSE), 1)</f>
        <v>4.5503186046614822E-5</v>
      </c>
      <c r="T12" s="7">
        <f>$B12 * IFERROR(VLOOKUP("LULUCF|NOx|Respiratory hospital admissions", US_national_yearly!$D:$AM, 28, FALSE) / VLOOKUP("LULUCF|NOx|Respiratory hospital admissions", US_national_yearly!$D:$AM, 10, FALSE), 1)</f>
        <v>4.5752492903709403E-5</v>
      </c>
      <c r="U12" s="7">
        <f>$B12 * IFERROR(VLOOKUP("LULUCF|NOx|Respiratory hospital admissions", US_national_yearly!$D:$AM, 29, FALSE) / VLOOKUP("LULUCF|NOx|Respiratory hospital admissions", US_national_yearly!$D:$AM, 10, FALSE), 1)</f>
        <v>4.6001799760803992E-5</v>
      </c>
      <c r="V12" s="7">
        <f>$B12 * IFERROR(VLOOKUP("LULUCF|NOx|Respiratory hospital admissions", US_national_yearly!$D:$AM, 30, FALSE) / VLOOKUP("LULUCF|NOx|Respiratory hospital admissions", US_national_yearly!$D:$AM, 10, FALSE), 1)</f>
        <v>4.6251106617898566E-5</v>
      </c>
      <c r="W12" s="7">
        <f>$B12 * IFERROR(VLOOKUP("LULUCF|NOx|Respiratory hospital admissions", US_national_yearly!$D:$AM, 31, FALSE) / VLOOKUP("LULUCF|NOx|Respiratory hospital admissions", US_national_yearly!$D:$AM, 10, FALSE), 1)</f>
        <v>4.6500413474993154E-5</v>
      </c>
      <c r="X12" s="7">
        <f>$B12 * IFERROR(VLOOKUP("LULUCF|NOx|Respiratory hospital admissions", US_national_yearly!$D:$AM, 32, FALSE) / VLOOKUP("LULUCF|NOx|Respiratory hospital admissions", US_national_yearly!$D:$AM, 10, FALSE), 1)</f>
        <v>4.6670782322746751E-5</v>
      </c>
      <c r="Y12" s="7">
        <f>$B12 * IFERROR(VLOOKUP("LULUCF|NOx|Respiratory hospital admissions", US_national_yearly!$D:$AM, 33, FALSE) / VLOOKUP("LULUCF|NOx|Respiratory hospital admissions", US_national_yearly!$D:$AM, 10, FALSE), 1)</f>
        <v>4.6841151170500347E-5</v>
      </c>
      <c r="Z12" s="7">
        <f>$B12 * IFERROR(VLOOKUP("LULUCF|NOx|Respiratory hospital admissions", US_national_yearly!$D:$AM, 34, FALSE) / VLOOKUP("LULUCF|NOx|Respiratory hospital admissions", US_national_yearly!$D:$AM, 10, FALSE), 1)</f>
        <v>4.701152001825395E-5</v>
      </c>
      <c r="AA12" s="7">
        <f>$B12 * IFERROR(VLOOKUP("LULUCF|NOx|Respiratory hospital admissions", US_national_yearly!$D:$AM, 35, FALSE) / VLOOKUP("LULUCF|NOx|Respiratory hospital admissions", US_national_yearly!$D:$AM, 10, FALSE), 1)</f>
        <v>4.7181888866007553E-5</v>
      </c>
      <c r="AB12" s="7">
        <f>$B12 * IFERROR(VLOOKUP("LULUCF|NOx|Respiratory hospital admissions", US_national_yearly!$D:$AM, 36, FALSE) / VLOOKUP("LULUCF|NOx|Respiratory hospital admissions", US_national_yearly!$D:$AM, 10, FALSE), 1)</f>
        <v>4.7352257713761142E-5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1.8853714560485948E-4</v>
      </c>
      <c r="C13" s="7">
        <f>$B13 * IFERROR(VLOOKUP("LULUCF|NOx|Non-fatal heart attacks", US_national_yearly!$D:$AM, 11, FALSE) / VLOOKUP("LULUCF|NOx|Non-fatal heart attacks", US_national_yearly!$D:$AM, 10, FALSE), 1)</f>
        <v>1.9392725648587883E-4</v>
      </c>
      <c r="D13" s="7">
        <f>$B13 * IFERROR(VLOOKUP("LULUCF|NOx|Non-fatal heart attacks", US_national_yearly!$D:$AM, 12, FALSE) / VLOOKUP("LULUCF|NOx|Non-fatal heart attacks", US_national_yearly!$D:$AM, 10, FALSE), 1)</f>
        <v>1.9931736736689815E-4</v>
      </c>
      <c r="E13" s="7">
        <f>$B13 * IFERROR(VLOOKUP("LULUCF|NOx|Non-fatal heart attacks", US_national_yearly!$D:$AM, 13, FALSE) / VLOOKUP("LULUCF|NOx|Non-fatal heart attacks", US_national_yearly!$D:$AM, 10, FALSE), 1)</f>
        <v>2.0470747824791744E-4</v>
      </c>
      <c r="F13" s="7">
        <f>$B13 * IFERROR(VLOOKUP("LULUCF|NOx|Non-fatal heart attacks", US_national_yearly!$D:$AM, 14, FALSE) / VLOOKUP("LULUCF|NOx|Non-fatal heart attacks", US_national_yearly!$D:$AM, 10, FALSE), 1)</f>
        <v>2.1009758912893679E-4</v>
      </c>
      <c r="G13" s="7">
        <f>$B13 * IFERROR(VLOOKUP("LULUCF|NOx|Non-fatal heart attacks", US_national_yearly!$D:$AM, 15, FALSE) / VLOOKUP("LULUCF|NOx|Non-fatal heart attacks", US_national_yearly!$D:$AM, 10, FALSE), 1)</f>
        <v>2.1513463654472794E-4</v>
      </c>
      <c r="H13" s="7">
        <f>$B13 * IFERROR(VLOOKUP("LULUCF|NOx|Non-fatal heart attacks", US_national_yearly!$D:$AM, 16, FALSE) / VLOOKUP("LULUCF|NOx|Non-fatal heart attacks", US_national_yearly!$D:$AM, 10, FALSE), 1)</f>
        <v>2.201716839605191E-4</v>
      </c>
      <c r="I13" s="7">
        <f>$B13 * IFERROR(VLOOKUP("LULUCF|NOx|Non-fatal heart attacks", US_national_yearly!$D:$AM, 17, FALSE) / VLOOKUP("LULUCF|NOx|Non-fatal heart attacks", US_national_yearly!$D:$AM, 10, FALSE), 1)</f>
        <v>2.2414282005837365E-4</v>
      </c>
      <c r="J13" s="7">
        <f>$B13 * IFERROR(VLOOKUP("LULUCF|NOx|Non-fatal heart attacks", US_national_yearly!$D:$AM, 18, FALSE) / VLOOKUP("LULUCF|NOx|Non-fatal heart attacks", US_national_yearly!$D:$AM, 10, FALSE), 1)</f>
        <v>2.2811395615622825E-4</v>
      </c>
      <c r="K13" s="7">
        <f>$B13 * IFERROR(VLOOKUP("LULUCF|NOx|Non-fatal heart attacks", US_national_yearly!$D:$AM, 19, FALSE) / VLOOKUP("LULUCF|NOx|Non-fatal heart attacks", US_national_yearly!$D:$AM, 10, FALSE), 1)</f>
        <v>2.3208509225408267E-4</v>
      </c>
      <c r="L13" s="7">
        <f>$B13 * IFERROR(VLOOKUP("LULUCF|NOx|Non-fatal heart attacks", US_national_yearly!$D:$AM, 20, FALSE) / VLOOKUP("LULUCF|NOx|Non-fatal heart attacks", US_national_yearly!$D:$AM, 10, FALSE), 1)</f>
        <v>2.3605622835193738E-4</v>
      </c>
      <c r="M13" s="7">
        <f>$B13 * IFERROR(VLOOKUP("LULUCF|NOx|Non-fatal heart attacks", US_national_yearly!$D:$AM, 21, FALSE) / VLOOKUP("LULUCF|NOx|Non-fatal heart attacks", US_national_yearly!$D:$AM, 10, FALSE), 1)</f>
        <v>2.400273644497919E-4</v>
      </c>
      <c r="N13" s="7">
        <f>$B13 * IFERROR(VLOOKUP("LULUCF|NOx|Non-fatal heart attacks", US_national_yearly!$D:$AM, 22, FALSE) / VLOOKUP("LULUCF|NOx|Non-fatal heart attacks", US_national_yearly!$D:$AM, 10, FALSE), 1)</f>
        <v>2.4241652035722876E-4</v>
      </c>
      <c r="O13" s="7">
        <f>$B13 * IFERROR(VLOOKUP("LULUCF|NOx|Non-fatal heart attacks", US_national_yearly!$D:$AM, 23, FALSE) / VLOOKUP("LULUCF|NOx|Non-fatal heart attacks", US_national_yearly!$D:$AM, 10, FALSE), 1)</f>
        <v>2.4480567626466564E-4</v>
      </c>
      <c r="P13" s="7">
        <f>$B13 * IFERROR(VLOOKUP("LULUCF|NOx|Non-fatal heart attacks", US_national_yearly!$D:$AM, 24, FALSE) / VLOOKUP("LULUCF|NOx|Non-fatal heart attacks", US_national_yearly!$D:$AM, 10, FALSE), 1)</f>
        <v>2.471948321721025E-4</v>
      </c>
      <c r="Q13" s="7">
        <f>$B13 * IFERROR(VLOOKUP("LULUCF|NOx|Non-fatal heart attacks", US_national_yearly!$D:$AM, 25, FALSE) / VLOOKUP("LULUCF|NOx|Non-fatal heart attacks", US_national_yearly!$D:$AM, 10, FALSE), 1)</f>
        <v>2.4958398807953941E-4</v>
      </c>
      <c r="R13" s="7">
        <f>$B13 * IFERROR(VLOOKUP("LULUCF|NOx|Non-fatal heart attacks", US_national_yearly!$D:$AM, 26, FALSE) / VLOOKUP("LULUCF|NOx|Non-fatal heart attacks", US_national_yearly!$D:$AM, 10, FALSE), 1)</f>
        <v>2.5197314398697632E-4</v>
      </c>
      <c r="S13" s="7">
        <f>$B13 * IFERROR(VLOOKUP("LULUCF|NOx|Non-fatal heart attacks", US_national_yearly!$D:$AM, 27, FALSE) / VLOOKUP("LULUCF|NOx|Non-fatal heart attacks", US_national_yearly!$D:$AM, 10, FALSE), 1)</f>
        <v>2.530568816308807E-4</v>
      </c>
      <c r="T13" s="7">
        <f>$B13 * IFERROR(VLOOKUP("LULUCF|NOx|Non-fatal heart attacks", US_national_yearly!$D:$AM, 28, FALSE) / VLOOKUP("LULUCF|NOx|Non-fatal heart attacks", US_national_yearly!$D:$AM, 10, FALSE), 1)</f>
        <v>2.5414061927478513E-4</v>
      </c>
      <c r="U13" s="7">
        <f>$B13 * IFERROR(VLOOKUP("LULUCF|NOx|Non-fatal heart attacks", US_national_yearly!$D:$AM, 29, FALSE) / VLOOKUP("LULUCF|NOx|Non-fatal heart attacks", US_national_yearly!$D:$AM, 10, FALSE), 1)</f>
        <v>2.5522435691868956E-4</v>
      </c>
      <c r="V13" s="7">
        <f>$B13 * IFERROR(VLOOKUP("LULUCF|NOx|Non-fatal heart attacks", US_national_yearly!$D:$AM, 30, FALSE) / VLOOKUP("LULUCF|NOx|Non-fatal heart attacks", US_national_yearly!$D:$AM, 10, FALSE), 1)</f>
        <v>2.5630809456259399E-4</v>
      </c>
      <c r="W13" s="7">
        <f>$B13 * IFERROR(VLOOKUP("LULUCF|NOx|Non-fatal heart attacks", US_national_yearly!$D:$AM, 31, FALSE) / VLOOKUP("LULUCF|NOx|Non-fatal heart attacks", US_national_yearly!$D:$AM, 10, FALSE), 1)</f>
        <v>2.5739183220649836E-4</v>
      </c>
      <c r="X13" s="7">
        <f>$B13 * IFERROR(VLOOKUP("LULUCF|NOx|Non-fatal heart attacks", US_national_yearly!$D:$AM, 32, FALSE) / VLOOKUP("LULUCF|NOx|Non-fatal heart attacks", US_national_yearly!$D:$AM, 10, FALSE), 1)</f>
        <v>2.581160427244908E-4</v>
      </c>
      <c r="Y13" s="7">
        <f>$B13 * IFERROR(VLOOKUP("LULUCF|NOx|Non-fatal heart attacks", US_national_yearly!$D:$AM, 33, FALSE) / VLOOKUP("LULUCF|NOx|Non-fatal heart attacks", US_national_yearly!$D:$AM, 10, FALSE), 1)</f>
        <v>2.5884025324248323E-4</v>
      </c>
      <c r="Z13" s="7">
        <f>$B13 * IFERROR(VLOOKUP("LULUCF|NOx|Non-fatal heart attacks", US_national_yearly!$D:$AM, 34, FALSE) / VLOOKUP("LULUCF|NOx|Non-fatal heart attacks", US_national_yearly!$D:$AM, 10, FALSE), 1)</f>
        <v>2.595644637604756E-4</v>
      </c>
      <c r="AA13" s="7">
        <f>$B13 * IFERROR(VLOOKUP("LULUCF|NOx|Non-fatal heart attacks", US_national_yearly!$D:$AM, 35, FALSE) / VLOOKUP("LULUCF|NOx|Non-fatal heart attacks", US_national_yearly!$D:$AM, 10, FALSE), 1)</f>
        <v>2.6028867427846803E-4</v>
      </c>
      <c r="AB13" s="7">
        <f>$B13 * IFERROR(VLOOKUP("LULUCF|NOx|Non-fatal heart attacks", US_national_yearly!$D:$AM, 36, FALSE) / VLOOKUP("LULUCF|NOx|Non-fatal heart attacks", US_national_yearly!$D:$AM, 10, FALSE), 1)</f>
        <v>2.6101288479646046E-4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0.13371175430749255</v>
      </c>
      <c r="C14" s="7">
        <f>$B14 * IFERROR(VLOOKUP("LULUCF|NOx|Minor restricted activity days", US_national_yearly!$D:$AM, 11, FALSE) / VLOOKUP("LULUCF|NOx|Minor restricted activity days", US_national_yearly!$D:$AM, 10, FALSE), 1)</f>
        <v>0.13391675686616833</v>
      </c>
      <c r="D14" s="7">
        <f>$B14 * IFERROR(VLOOKUP("LULUCF|NOx|Minor restricted activity days", US_national_yearly!$D:$AM, 12, FALSE) / VLOOKUP("LULUCF|NOx|Minor restricted activity days", US_national_yearly!$D:$AM, 10, FALSE), 1)</f>
        <v>0.13412175942484414</v>
      </c>
      <c r="E14" s="7">
        <f>$B14 * IFERROR(VLOOKUP("LULUCF|NOx|Minor restricted activity days", US_national_yearly!$D:$AM, 13, FALSE) / VLOOKUP("LULUCF|NOx|Minor restricted activity days", US_national_yearly!$D:$AM, 10, FALSE), 1)</f>
        <v>0.13432676198351995</v>
      </c>
      <c r="F14" s="7">
        <f>$B14 * IFERROR(VLOOKUP("LULUCF|NOx|Minor restricted activity days", US_national_yearly!$D:$AM, 14, FALSE) / VLOOKUP("LULUCF|NOx|Minor restricted activity days", US_national_yearly!$D:$AM, 10, FALSE), 1)</f>
        <v>0.13453176454219573</v>
      </c>
      <c r="G14" s="7">
        <f>$B14 * IFERROR(VLOOKUP("LULUCF|NOx|Minor restricted activity days", US_national_yearly!$D:$AM, 15, FALSE) / VLOOKUP("LULUCF|NOx|Minor restricted activity days", US_national_yearly!$D:$AM, 10, FALSE), 1)</f>
        <v>0.13490195036836239</v>
      </c>
      <c r="H14" s="7">
        <f>$B14 * IFERROR(VLOOKUP("LULUCF|NOx|Minor restricted activity days", US_national_yearly!$D:$AM, 16, FALSE) / VLOOKUP("LULUCF|NOx|Minor restricted activity days", US_national_yearly!$D:$AM, 10, FALSE), 1)</f>
        <v>0.13527213619452902</v>
      </c>
      <c r="I14" s="7">
        <f>$B14 * IFERROR(VLOOKUP("LULUCF|NOx|Minor restricted activity days", US_national_yearly!$D:$AM, 17, FALSE) / VLOOKUP("LULUCF|NOx|Minor restricted activity days", US_national_yearly!$D:$AM, 10, FALSE), 1)</f>
        <v>0.13599620503184867</v>
      </c>
      <c r="J14" s="7">
        <f>$B14 * IFERROR(VLOOKUP("LULUCF|NOx|Minor restricted activity days", US_national_yearly!$D:$AM, 18, FALSE) / VLOOKUP("LULUCF|NOx|Minor restricted activity days", US_national_yearly!$D:$AM, 10, FALSE), 1)</f>
        <v>0.1367202738691683</v>
      </c>
      <c r="K14" s="7">
        <f>$B14 * IFERROR(VLOOKUP("LULUCF|NOx|Minor restricted activity days", US_national_yearly!$D:$AM, 19, FALSE) / VLOOKUP("LULUCF|NOx|Minor restricted activity days", US_national_yearly!$D:$AM, 10, FALSE), 1)</f>
        <v>0.13744434270648795</v>
      </c>
      <c r="L14" s="7">
        <f>$B14 * IFERROR(VLOOKUP("LULUCF|NOx|Minor restricted activity days", US_national_yearly!$D:$AM, 20, FALSE) / VLOOKUP("LULUCF|NOx|Minor restricted activity days", US_national_yearly!$D:$AM, 10, FALSE), 1)</f>
        <v>0.13816841154380757</v>
      </c>
      <c r="M14" s="7">
        <f>$B14 * IFERROR(VLOOKUP("LULUCF|NOx|Minor restricted activity days", US_national_yearly!$D:$AM, 21, FALSE) / VLOOKUP("LULUCF|NOx|Minor restricted activity days", US_national_yearly!$D:$AM, 10, FALSE), 1)</f>
        <v>0.13889248038112723</v>
      </c>
      <c r="N14" s="7">
        <f>$B14 * IFERROR(VLOOKUP("LULUCF|NOx|Minor restricted activity days", US_national_yearly!$D:$AM, 22, FALSE) / VLOOKUP("LULUCF|NOx|Minor restricted activity days", US_national_yearly!$D:$AM, 10, FALSE), 1)</f>
        <v>0.13992918277711613</v>
      </c>
      <c r="O14" s="7">
        <f>$B14 * IFERROR(VLOOKUP("LULUCF|NOx|Minor restricted activity days", US_national_yearly!$D:$AM, 23, FALSE) / VLOOKUP("LULUCF|NOx|Minor restricted activity days", US_national_yearly!$D:$AM, 10, FALSE), 1)</f>
        <v>0.14096588517310504</v>
      </c>
      <c r="P14" s="7">
        <f>$B14 * IFERROR(VLOOKUP("LULUCF|NOx|Minor restricted activity days", US_national_yearly!$D:$AM, 24, FALSE) / VLOOKUP("LULUCF|NOx|Minor restricted activity days", US_national_yearly!$D:$AM, 10, FALSE), 1)</f>
        <v>0.14200258756909392</v>
      </c>
      <c r="Q14" s="7">
        <f>$B14 * IFERROR(VLOOKUP("LULUCF|NOx|Minor restricted activity days", US_national_yearly!$D:$AM, 25, FALSE) / VLOOKUP("LULUCF|NOx|Minor restricted activity days", US_national_yearly!$D:$AM, 10, FALSE), 1)</f>
        <v>0.14303928996508283</v>
      </c>
      <c r="R14" s="7">
        <f>$B14 * IFERROR(VLOOKUP("LULUCF|NOx|Minor restricted activity days", US_national_yearly!$D:$AM, 26, FALSE) / VLOOKUP("LULUCF|NOx|Minor restricted activity days", US_national_yearly!$D:$AM, 10, FALSE), 1)</f>
        <v>0.14407599236107174</v>
      </c>
      <c r="S14" s="7">
        <f>$B14 * IFERROR(VLOOKUP("LULUCF|NOx|Minor restricted activity days", US_national_yearly!$D:$AM, 27, FALSE) / VLOOKUP("LULUCF|NOx|Minor restricted activity days", US_national_yearly!$D:$AM, 10, FALSE), 1)</f>
        <v>0.14511247679260078</v>
      </c>
      <c r="T14" s="7">
        <f>$B14 * IFERROR(VLOOKUP("LULUCF|NOx|Minor restricted activity days", US_national_yearly!$D:$AM, 28, FALSE) / VLOOKUP("LULUCF|NOx|Minor restricted activity days", US_national_yearly!$D:$AM, 10, FALSE), 1)</f>
        <v>0.14614896122412979</v>
      </c>
      <c r="U14" s="7">
        <f>$B14 * IFERROR(VLOOKUP("LULUCF|NOx|Minor restricted activity days", US_national_yearly!$D:$AM, 29, FALSE) / VLOOKUP("LULUCF|NOx|Minor restricted activity days", US_national_yearly!$D:$AM, 10, FALSE), 1)</f>
        <v>0.14718544565565883</v>
      </c>
      <c r="V14" s="7">
        <f>$B14 * IFERROR(VLOOKUP("LULUCF|NOx|Minor restricted activity days", US_national_yearly!$D:$AM, 30, FALSE) / VLOOKUP("LULUCF|NOx|Minor restricted activity days", US_national_yearly!$D:$AM, 10, FALSE), 1)</f>
        <v>0.14822193008718787</v>
      </c>
      <c r="W14" s="7">
        <f>$B14 * IFERROR(VLOOKUP("LULUCF|NOx|Minor restricted activity days", US_national_yearly!$D:$AM, 31, FALSE) / VLOOKUP("LULUCF|NOx|Minor restricted activity days", US_national_yearly!$D:$AM, 10, FALSE), 1)</f>
        <v>0.14925841451871688</v>
      </c>
      <c r="X14" s="7">
        <f>$B14 * IFERROR(VLOOKUP("LULUCF|NOx|Minor restricted activity days", US_national_yearly!$D:$AM, 32, FALSE) / VLOOKUP("LULUCF|NOx|Minor restricted activity days", US_national_yearly!$D:$AM, 10, FALSE), 1)</f>
        <v>0.15013472261984012</v>
      </c>
      <c r="Y14" s="7">
        <f>$B14 * IFERROR(VLOOKUP("LULUCF|NOx|Minor restricted activity days", US_national_yearly!$D:$AM, 33, FALSE) / VLOOKUP("LULUCF|NOx|Minor restricted activity days", US_national_yearly!$D:$AM, 10, FALSE), 1)</f>
        <v>0.15101103072096336</v>
      </c>
      <c r="Z14" s="7">
        <f>$B14 * IFERROR(VLOOKUP("LULUCF|NOx|Minor restricted activity days", US_national_yearly!$D:$AM, 34, FALSE) / VLOOKUP("LULUCF|NOx|Minor restricted activity days", US_national_yearly!$D:$AM, 10, FALSE), 1)</f>
        <v>0.1518873388220866</v>
      </c>
      <c r="AA14" s="7">
        <f>$B14 * IFERROR(VLOOKUP("LULUCF|NOx|Minor restricted activity days", US_national_yearly!$D:$AM, 35, FALSE) / VLOOKUP("LULUCF|NOx|Minor restricted activity days", US_national_yearly!$D:$AM, 10, FALSE), 1)</f>
        <v>0.15276364692320982</v>
      </c>
      <c r="AB14" s="7">
        <f>$B14 * IFERROR(VLOOKUP("LULUCF|NOx|Minor restricted activity days", US_national_yearly!$D:$AM, 36, FALSE) / VLOOKUP("LULUCF|NOx|Minor restricted activity days", US_national_yearly!$D:$AM, 10, FALSE), 1)</f>
        <v>0.15363995502433306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2.2563422044749683E-2</v>
      </c>
      <c r="C15" s="7">
        <f>$B15 * IFERROR(VLOOKUP("LULUCF|NOx|Work loss days", US_national_yearly!$D:$AM, 11, FALSE) / VLOOKUP("LULUCF|NOx|Work loss days", US_national_yearly!$D:$AM, 10, FALSE), 1)</f>
        <v>2.2613613163252798E-2</v>
      </c>
      <c r="D15" s="7">
        <f>$B15 * IFERROR(VLOOKUP("LULUCF|NOx|Work loss days", US_national_yearly!$D:$AM, 12, FALSE) / VLOOKUP("LULUCF|NOx|Work loss days", US_national_yearly!$D:$AM, 10, FALSE), 1)</f>
        <v>2.266380428175592E-2</v>
      </c>
      <c r="E15" s="7">
        <f>$B15 * IFERROR(VLOOKUP("LULUCF|NOx|Work loss days", US_national_yearly!$D:$AM, 13, FALSE) / VLOOKUP("LULUCF|NOx|Work loss days", US_national_yearly!$D:$AM, 10, FALSE), 1)</f>
        <v>2.2713995400259035E-2</v>
      </c>
      <c r="F15" s="7">
        <f>$B15 * IFERROR(VLOOKUP("LULUCF|NOx|Work loss days", US_national_yearly!$D:$AM, 14, FALSE) / VLOOKUP("LULUCF|NOx|Work loss days", US_national_yearly!$D:$AM, 10, FALSE), 1)</f>
        <v>2.2764186518762154E-2</v>
      </c>
      <c r="G15" s="7">
        <f>$B15 * IFERROR(VLOOKUP("LULUCF|NOx|Work loss days", US_national_yearly!$D:$AM, 15, FALSE) / VLOOKUP("LULUCF|NOx|Work loss days", US_national_yearly!$D:$AM, 10, FALSE), 1)</f>
        <v>2.2837465979929233E-2</v>
      </c>
      <c r="H15" s="7">
        <f>$B15 * IFERROR(VLOOKUP("LULUCF|NOx|Work loss days", US_national_yearly!$D:$AM, 16, FALSE) / VLOOKUP("LULUCF|NOx|Work loss days", US_national_yearly!$D:$AM, 10, FALSE), 1)</f>
        <v>2.2910745441096312E-2</v>
      </c>
      <c r="I15" s="7">
        <f>$B15 * IFERROR(VLOOKUP("LULUCF|NOx|Work loss days", US_national_yearly!$D:$AM, 17, FALSE) / VLOOKUP("LULUCF|NOx|Work loss days", US_national_yearly!$D:$AM, 10, FALSE), 1)</f>
        <v>2.3029454196717421E-2</v>
      </c>
      <c r="J15" s="7">
        <f>$B15 * IFERROR(VLOOKUP("LULUCF|NOx|Work loss days", US_national_yearly!$D:$AM, 18, FALSE) / VLOOKUP("LULUCF|NOx|Work loss days", US_national_yearly!$D:$AM, 10, FALSE), 1)</f>
        <v>2.3148162952338534E-2</v>
      </c>
      <c r="K15" s="7">
        <f>$B15 * IFERROR(VLOOKUP("LULUCF|NOx|Work loss days", US_national_yearly!$D:$AM, 19, FALSE) / VLOOKUP("LULUCF|NOx|Work loss days", US_national_yearly!$D:$AM, 10, FALSE), 1)</f>
        <v>2.3266871707959644E-2</v>
      </c>
      <c r="L15" s="7">
        <f>$B15 * IFERROR(VLOOKUP("LULUCF|NOx|Work loss days", US_national_yearly!$D:$AM, 20, FALSE) / VLOOKUP("LULUCF|NOx|Work loss days", US_national_yearly!$D:$AM, 10, FALSE), 1)</f>
        <v>2.338558046358075E-2</v>
      </c>
      <c r="M15" s="7">
        <f>$B15 * IFERROR(VLOOKUP("LULUCF|NOx|Work loss days", US_national_yearly!$D:$AM, 21, FALSE) / VLOOKUP("LULUCF|NOx|Work loss days", US_national_yearly!$D:$AM, 10, FALSE), 1)</f>
        <v>2.3504289219201863E-2</v>
      </c>
      <c r="N15" s="7">
        <f>$B15 * IFERROR(VLOOKUP("LULUCF|NOx|Work loss days", US_national_yearly!$D:$AM, 22, FALSE) / VLOOKUP("LULUCF|NOx|Work loss days", US_national_yearly!$D:$AM, 10, FALSE), 1)</f>
        <v>2.3658781380349027E-2</v>
      </c>
      <c r="O15" s="7">
        <f>$B15 * IFERROR(VLOOKUP("LULUCF|NOx|Work loss days", US_national_yearly!$D:$AM, 23, FALSE) / VLOOKUP("LULUCF|NOx|Work loss days", US_national_yearly!$D:$AM, 10, FALSE), 1)</f>
        <v>2.3813273541496191E-2</v>
      </c>
      <c r="P15" s="7">
        <f>$B15 * IFERROR(VLOOKUP("LULUCF|NOx|Work loss days", US_national_yearly!$D:$AM, 24, FALSE) / VLOOKUP("LULUCF|NOx|Work loss days", US_national_yearly!$D:$AM, 10, FALSE), 1)</f>
        <v>2.3967765702643355E-2</v>
      </c>
      <c r="Q15" s="7">
        <f>$B15 * IFERROR(VLOOKUP("LULUCF|NOx|Work loss days", US_national_yearly!$D:$AM, 25, FALSE) / VLOOKUP("LULUCF|NOx|Work loss days", US_national_yearly!$D:$AM, 10, FALSE), 1)</f>
        <v>2.4122257863790516E-2</v>
      </c>
      <c r="R15" s="7">
        <f>$B15 * IFERROR(VLOOKUP("LULUCF|NOx|Work loss days", US_national_yearly!$D:$AM, 26, FALSE) / VLOOKUP("LULUCF|NOx|Work loss days", US_national_yearly!$D:$AM, 10, FALSE), 1)</f>
        <v>2.4276750024937684E-2</v>
      </c>
      <c r="S15" s="7">
        <f>$B15 * IFERROR(VLOOKUP("LULUCF|NOx|Work loss days", US_national_yearly!$D:$AM, 27, FALSE) / VLOOKUP("LULUCF|NOx|Work loss days", US_national_yearly!$D:$AM, 10, FALSE), 1)</f>
        <v>2.4448989030939339E-2</v>
      </c>
      <c r="T15" s="7">
        <f>$B15 * IFERROR(VLOOKUP("LULUCF|NOx|Work loss days", US_national_yearly!$D:$AM, 28, FALSE) / VLOOKUP("LULUCF|NOx|Work loss days", US_national_yearly!$D:$AM, 10, FALSE), 1)</f>
        <v>2.4621228036940994E-2</v>
      </c>
      <c r="U15" s="7">
        <f>$B15 * IFERROR(VLOOKUP("LULUCF|NOx|Work loss days", US_national_yearly!$D:$AM, 29, FALSE) / VLOOKUP("LULUCF|NOx|Work loss days", US_national_yearly!$D:$AM, 10, FALSE), 1)</f>
        <v>2.4793467042942646E-2</v>
      </c>
      <c r="V15" s="7">
        <f>$B15 * IFERROR(VLOOKUP("LULUCF|NOx|Work loss days", US_national_yearly!$D:$AM, 30, FALSE) / VLOOKUP("LULUCF|NOx|Work loss days", US_national_yearly!$D:$AM, 10, FALSE), 1)</f>
        <v>2.4965706048944301E-2</v>
      </c>
      <c r="W15" s="7">
        <f>$B15 * IFERROR(VLOOKUP("LULUCF|NOx|Work loss days", US_national_yearly!$D:$AM, 31, FALSE) / VLOOKUP("LULUCF|NOx|Work loss days", US_national_yearly!$D:$AM, 10, FALSE), 1)</f>
        <v>2.5137945054945956E-2</v>
      </c>
      <c r="X15" s="7">
        <f>$B15 * IFERROR(VLOOKUP("LULUCF|NOx|Work loss days", US_national_yearly!$D:$AM, 32, FALSE) / VLOOKUP("LULUCF|NOx|Work loss days", US_national_yearly!$D:$AM, 10, FALSE), 1)</f>
        <v>2.5287439328932994E-2</v>
      </c>
      <c r="Y15" s="7">
        <f>$B15 * IFERROR(VLOOKUP("LULUCF|NOx|Work loss days", US_national_yearly!$D:$AM, 33, FALSE) / VLOOKUP("LULUCF|NOx|Work loss days", US_national_yearly!$D:$AM, 10, FALSE), 1)</f>
        <v>2.5436933602920028E-2</v>
      </c>
      <c r="Z15" s="7">
        <f>$B15 * IFERROR(VLOOKUP("LULUCF|NOx|Work loss days", US_national_yearly!$D:$AM, 34, FALSE) / VLOOKUP("LULUCF|NOx|Work loss days", US_national_yearly!$D:$AM, 10, FALSE), 1)</f>
        <v>2.5586427876907066E-2</v>
      </c>
      <c r="AA15" s="7">
        <f>$B15 * IFERROR(VLOOKUP("LULUCF|NOx|Work loss days", US_national_yearly!$D:$AM, 35, FALSE) / VLOOKUP("LULUCF|NOx|Work loss days", US_national_yearly!$D:$AM, 10, FALSE), 1)</f>
        <v>2.5735922150894101E-2</v>
      </c>
      <c r="AB15" s="7">
        <f>$B15 * IFERROR(VLOOKUP("LULUCF|NOx|Work loss days", US_national_yearly!$D:$AM, 36, FALSE) / VLOOKUP("LULUCF|NOx|Work loss days", US_national_yearly!$D:$AM, 10, FALSE), 1)</f>
        <v>2.5885416424881139E-2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5.2483367318825881E-5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5.4025571738731864E-5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5.5567776158637834E-5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5.710998057854381E-5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5.8652184998449794E-5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6.0117024155923715E-5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6.158186331339765E-5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6.281368003887063E-5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6.4045496764343623E-5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6.5277313489816604E-5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6.6509130215289597E-5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6.7740946940762591E-5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6.8511242755184208E-5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6.9281538569605853E-5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7.0051834384027485E-5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7.0822130198449116E-5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7.1592426012870747E-5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7.1943890840297999E-5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7.2295355667725236E-5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7.2646820495152474E-5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7.2998285322579726E-5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7.3349750150006977E-5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7.3545352511620427E-5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7.3740954873233891E-5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7.3936557234847354E-5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7.4132159596460817E-5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7.4327761958074281E-5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4.7425914893644763E-4</v>
      </c>
      <c r="C2" s="7">
        <f>$B2 * IFERROR(VLOOKUP("LULUCF|SO2|Premature mortality", US_national_yearly!$D:$AM, 11, FALSE) / VLOOKUP("LULUCF|SO2|Premature mortality", US_national_yearly!$D:$AM, 10, FALSE), 1)</f>
        <v>4.802653844529712E-4</v>
      </c>
      <c r="D2" s="7">
        <f>$B2 * IFERROR(VLOOKUP("LULUCF|SO2|Premature mortality", US_national_yearly!$D:$AM, 12, FALSE) / VLOOKUP("LULUCF|SO2|Premature mortality", US_national_yearly!$D:$AM, 10, FALSE), 1)</f>
        <v>4.8627161996949494E-4</v>
      </c>
      <c r="E2" s="7">
        <f>$B2 * IFERROR(VLOOKUP("LULUCF|SO2|Premature mortality", US_national_yearly!$D:$AM, 13, FALSE) / VLOOKUP("LULUCF|SO2|Premature mortality", US_national_yearly!$D:$AM, 10, FALSE), 1)</f>
        <v>4.9227785548601856E-4</v>
      </c>
      <c r="F2" s="7">
        <f>$B2 * IFERROR(VLOOKUP("LULUCF|SO2|Premature mortality", US_national_yearly!$D:$AM, 14, FALSE) / VLOOKUP("LULUCF|SO2|Premature mortality", US_national_yearly!$D:$AM, 10, FALSE), 1)</f>
        <v>4.9828409100254208E-4</v>
      </c>
      <c r="G2" s="7">
        <f>$B2 * IFERROR(VLOOKUP("LULUCF|SO2|Premature mortality", US_national_yearly!$D:$AM, 15, FALSE) / VLOOKUP("LULUCF|SO2|Premature mortality", US_national_yearly!$D:$AM, 10, FALSE), 1)</f>
        <v>5.098577664463819E-4</v>
      </c>
      <c r="H2" s="7">
        <f>$B2 * IFERROR(VLOOKUP("LULUCF|SO2|Premature mortality", US_national_yearly!$D:$AM, 16, FALSE) / VLOOKUP("LULUCF|SO2|Premature mortality", US_national_yearly!$D:$AM, 10, FALSE), 1)</f>
        <v>5.2143144189022161E-4</v>
      </c>
      <c r="I2" s="7">
        <f>$B2 * IFERROR(VLOOKUP("LULUCF|SO2|Premature mortality", US_national_yearly!$D:$AM, 17, FALSE) / VLOOKUP("LULUCF|SO2|Premature mortality", US_national_yearly!$D:$AM, 10, FALSE), 1)</f>
        <v>5.2908003578912483E-4</v>
      </c>
      <c r="J2" s="7">
        <f>$B2 * IFERROR(VLOOKUP("LULUCF|SO2|Premature mortality", US_national_yearly!$D:$AM, 18, FALSE) / VLOOKUP("LULUCF|SO2|Premature mortality", US_national_yearly!$D:$AM, 10, FALSE), 1)</f>
        <v>5.3672862968802816E-4</v>
      </c>
      <c r="K2" s="7">
        <f>$B2 * IFERROR(VLOOKUP("LULUCF|SO2|Premature mortality", US_national_yearly!$D:$AM, 19, FALSE) / VLOOKUP("LULUCF|SO2|Premature mortality", US_national_yearly!$D:$AM, 10, FALSE), 1)</f>
        <v>5.4437722358693138E-4</v>
      </c>
      <c r="L2" s="7">
        <f>$B2 * IFERROR(VLOOKUP("LULUCF|SO2|Premature mortality", US_national_yearly!$D:$AM, 20, FALSE) / VLOOKUP("LULUCF|SO2|Premature mortality", US_national_yearly!$D:$AM, 10, FALSE), 1)</f>
        <v>5.520258174858346E-4</v>
      </c>
      <c r="M2" s="7">
        <f>$B2 * IFERROR(VLOOKUP("LULUCF|SO2|Premature mortality", US_national_yearly!$D:$AM, 21, FALSE) / VLOOKUP("LULUCF|SO2|Premature mortality", US_national_yearly!$D:$AM, 10, FALSE), 1)</f>
        <v>5.5967441138473793E-4</v>
      </c>
      <c r="N2" s="7">
        <f>$B2 * IFERROR(VLOOKUP("LULUCF|SO2|Premature mortality", US_national_yearly!$D:$AM, 22, FALSE) / VLOOKUP("LULUCF|SO2|Premature mortality", US_national_yearly!$D:$AM, 10, FALSE), 1)</f>
        <v>5.6565060777675222E-4</v>
      </c>
      <c r="O2" s="7">
        <f>$B2 * IFERROR(VLOOKUP("LULUCF|SO2|Premature mortality", US_national_yearly!$D:$AM, 23, FALSE) / VLOOKUP("LULUCF|SO2|Premature mortality", US_national_yearly!$D:$AM, 10, FALSE), 1)</f>
        <v>5.7162680416876662E-4</v>
      </c>
      <c r="P2" s="7">
        <f>$B2 * IFERROR(VLOOKUP("LULUCF|SO2|Premature mortality", US_national_yearly!$D:$AM, 24, FALSE) / VLOOKUP("LULUCF|SO2|Premature mortality", US_national_yearly!$D:$AM, 10, FALSE), 1)</f>
        <v>5.7760300056078091E-4</v>
      </c>
      <c r="Q2" s="7">
        <f>$B2 * IFERROR(VLOOKUP("LULUCF|SO2|Premature mortality", US_national_yearly!$D:$AM, 25, FALSE) / VLOOKUP("LULUCF|SO2|Premature mortality", US_national_yearly!$D:$AM, 10, FALSE), 1)</f>
        <v>5.835791969527953E-4</v>
      </c>
      <c r="R2" s="7">
        <f>$B2 * IFERROR(VLOOKUP("LULUCF|SO2|Premature mortality", US_national_yearly!$D:$AM, 26, FALSE) / VLOOKUP("LULUCF|SO2|Premature mortality", US_national_yearly!$D:$AM, 10, FALSE), 1)</f>
        <v>5.8955539334480949E-4</v>
      </c>
      <c r="S2" s="7">
        <f>$B2 * IFERROR(VLOOKUP("LULUCF|SO2|Premature mortality", US_national_yearly!$D:$AM, 27, FALSE) / VLOOKUP("LULUCF|SO2|Premature mortality", US_national_yearly!$D:$AM, 10, FALSE), 1)</f>
        <v>5.9275572608697888E-4</v>
      </c>
      <c r="T2" s="7">
        <f>$B2 * IFERROR(VLOOKUP("LULUCF|SO2|Premature mortality", US_national_yearly!$D:$AM, 28, FALSE) / VLOOKUP("LULUCF|SO2|Premature mortality", US_national_yearly!$D:$AM, 10, FALSE), 1)</f>
        <v>5.9595605882914828E-4</v>
      </c>
      <c r="U2" s="7">
        <f>$B2 * IFERROR(VLOOKUP("LULUCF|SO2|Premature mortality", US_national_yearly!$D:$AM, 29, FALSE) / VLOOKUP("LULUCF|SO2|Premature mortality", US_national_yearly!$D:$AM, 10, FALSE), 1)</f>
        <v>5.9915639157131757E-4</v>
      </c>
      <c r="V2" s="7">
        <f>$B2 * IFERROR(VLOOKUP("LULUCF|SO2|Premature mortality", US_national_yearly!$D:$AM, 30, FALSE) / VLOOKUP("LULUCF|SO2|Premature mortality", US_national_yearly!$D:$AM, 10, FALSE), 1)</f>
        <v>6.0235672431348686E-4</v>
      </c>
      <c r="W2" s="7">
        <f>$B2 * IFERROR(VLOOKUP("LULUCF|SO2|Premature mortality", US_national_yearly!$D:$AM, 31, FALSE) / VLOOKUP("LULUCF|SO2|Premature mortality", US_national_yearly!$D:$AM, 10, FALSE), 1)</f>
        <v>6.0555705705565626E-4</v>
      </c>
      <c r="X2" s="7">
        <f>$B2 * IFERROR(VLOOKUP("LULUCF|SO2|Premature mortality", US_national_yearly!$D:$AM, 32, FALSE) / VLOOKUP("LULUCF|SO2|Premature mortality", US_national_yearly!$D:$AM, 10, FALSE), 1)</f>
        <v>6.0620721444130964E-4</v>
      </c>
      <c r="Y2" s="7">
        <f>$B2 * IFERROR(VLOOKUP("LULUCF|SO2|Premature mortality", US_national_yearly!$D:$AM, 33, FALSE) / VLOOKUP("LULUCF|SO2|Premature mortality", US_national_yearly!$D:$AM, 10, FALSE), 1)</f>
        <v>6.0685737182696303E-4</v>
      </c>
      <c r="Z2" s="7">
        <f>$B2 * IFERROR(VLOOKUP("LULUCF|SO2|Premature mortality", US_national_yearly!$D:$AM, 34, FALSE) / VLOOKUP("LULUCF|SO2|Premature mortality", US_national_yearly!$D:$AM, 10, FALSE), 1)</f>
        <v>6.0750752921261651E-4</v>
      </c>
      <c r="AA2" s="7">
        <f>$B2 * IFERROR(VLOOKUP("LULUCF|SO2|Premature mortality", US_national_yearly!$D:$AM, 35, FALSE) / VLOOKUP("LULUCF|SO2|Premature mortality", US_national_yearly!$D:$AM, 10, FALSE), 1)</f>
        <v>6.0815768659827E-4</v>
      </c>
      <c r="AB2" s="7">
        <f>$B2 * IFERROR(VLOOKUP("LULUCF|SO2|Premature mortality", US_national_yearly!$D:$AM, 36, FALSE) / VLOOKUP("LULUCF|SO2|Premature mortality", US_national_yearly!$D:$AM, 10, FALSE), 1)</f>
        <v>6.0880784398392339E-4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1.1907420423165211E-6</v>
      </c>
      <c r="C3" s="7">
        <f>$B3 * IFERROR(VLOOKUP("LULUCF|SO2|Infant mortality", US_national_yearly!$D:$AM, 11, FALSE) / VLOOKUP("LULUCF|SO2|Infant mortality", US_national_yearly!$D:$AM, 10, FALSE), 1)</f>
        <v>1.1805133509750401E-6</v>
      </c>
      <c r="D3" s="7">
        <f>$B3 * IFERROR(VLOOKUP("LULUCF|SO2|Infant mortality", US_national_yearly!$D:$AM, 12, FALSE) / VLOOKUP("LULUCF|SO2|Infant mortality", US_national_yearly!$D:$AM, 10, FALSE), 1)</f>
        <v>1.1702846596335592E-6</v>
      </c>
      <c r="E3" s="7">
        <f>$B3 * IFERROR(VLOOKUP("LULUCF|SO2|Infant mortality", US_national_yearly!$D:$AM, 13, FALSE) / VLOOKUP("LULUCF|SO2|Infant mortality", US_national_yearly!$D:$AM, 10, FALSE), 1)</f>
        <v>1.160055968292078E-6</v>
      </c>
      <c r="F3" s="7">
        <f>$B3 * IFERROR(VLOOKUP("LULUCF|SO2|Infant mortality", US_national_yearly!$D:$AM, 14, FALSE) / VLOOKUP("LULUCF|SO2|Infant mortality", US_national_yearly!$D:$AM, 10, FALSE), 1)</f>
        <v>1.1498272769505972E-6</v>
      </c>
      <c r="G3" s="7">
        <f>$B3 * IFERROR(VLOOKUP("LULUCF|SO2|Infant mortality", US_national_yearly!$D:$AM, 15, FALSE) / VLOOKUP("LULUCF|SO2|Infant mortality", US_national_yearly!$D:$AM, 10, FALSE), 1)</f>
        <v>7.6587757535550483E-7</v>
      </c>
      <c r="H3" s="7">
        <f>$B3 * IFERROR(VLOOKUP("LULUCF|SO2|Infant mortality", US_national_yearly!$D:$AM, 16, FALSE) / VLOOKUP("LULUCF|SO2|Infant mortality", US_national_yearly!$D:$AM, 10, FALSE), 1)</f>
        <v>3.8192787376041318E-7</v>
      </c>
      <c r="I3" s="7">
        <f>$B3 * IFERROR(VLOOKUP("LULUCF|SO2|Infant mortality", US_national_yearly!$D:$AM, 17, FALSE) / VLOOKUP("LULUCF|SO2|Infant mortality", US_national_yearly!$D:$AM, 10, FALSE), 1)</f>
        <v>3.7953192487599835E-7</v>
      </c>
      <c r="J3" s="7">
        <f>$B3 * IFERROR(VLOOKUP("LULUCF|SO2|Infant mortality", US_national_yearly!$D:$AM, 18, FALSE) / VLOOKUP("LULUCF|SO2|Infant mortality", US_national_yearly!$D:$AM, 10, FALSE), 1)</f>
        <v>3.7713597599158358E-7</v>
      </c>
      <c r="K3" s="7">
        <f>$B3 * IFERROR(VLOOKUP("LULUCF|SO2|Infant mortality", US_national_yearly!$D:$AM, 19, FALSE) / VLOOKUP("LULUCF|SO2|Infant mortality", US_national_yearly!$D:$AM, 10, FALSE), 1)</f>
        <v>3.7474002710716875E-7</v>
      </c>
      <c r="L3" s="7">
        <f>$B3 * IFERROR(VLOOKUP("LULUCF|SO2|Infant mortality", US_national_yearly!$D:$AM, 20, FALSE) / VLOOKUP("LULUCF|SO2|Infant mortality", US_national_yearly!$D:$AM, 10, FALSE), 1)</f>
        <v>3.7234407822275398E-7</v>
      </c>
      <c r="M3" s="7">
        <f>$B3 * IFERROR(VLOOKUP("LULUCF|SO2|Infant mortality", US_national_yearly!$D:$AM, 21, FALSE) / VLOOKUP("LULUCF|SO2|Infant mortality", US_national_yearly!$D:$AM, 10, FALSE), 1)</f>
        <v>3.699481293383392E-7</v>
      </c>
      <c r="N3" s="7">
        <f>$B3 * IFERROR(VLOOKUP("LULUCF|SO2|Infant mortality", US_national_yearly!$D:$AM, 22, FALSE) / VLOOKUP("LULUCF|SO2|Infant mortality", US_national_yearly!$D:$AM, 10, FALSE), 1)</f>
        <v>3.68444210161252E-7</v>
      </c>
      <c r="O3" s="7">
        <f>$B3 * IFERROR(VLOOKUP("LULUCF|SO2|Infant mortality", US_national_yearly!$D:$AM, 23, FALSE) / VLOOKUP("LULUCF|SO2|Infant mortality", US_national_yearly!$D:$AM, 10, FALSE), 1)</f>
        <v>3.6694029098416485E-7</v>
      </c>
      <c r="P3" s="7">
        <f>$B3 * IFERROR(VLOOKUP("LULUCF|SO2|Infant mortality", US_national_yearly!$D:$AM, 24, FALSE) / VLOOKUP("LULUCF|SO2|Infant mortality", US_national_yearly!$D:$AM, 10, FALSE), 1)</f>
        <v>3.6543637180707765E-7</v>
      </c>
      <c r="Q3" s="7">
        <f>$B3 * IFERROR(VLOOKUP("LULUCF|SO2|Infant mortality", US_national_yearly!$D:$AM, 25, FALSE) / VLOOKUP("LULUCF|SO2|Infant mortality", US_national_yearly!$D:$AM, 10, FALSE), 1)</f>
        <v>3.6393245262999045E-7</v>
      </c>
      <c r="R3" s="7">
        <f>$B3 * IFERROR(VLOOKUP("LULUCF|SO2|Infant mortality", US_national_yearly!$D:$AM, 26, FALSE) / VLOOKUP("LULUCF|SO2|Infant mortality", US_national_yearly!$D:$AM, 10, FALSE), 1)</f>
        <v>3.6242853345290325E-7</v>
      </c>
      <c r="S3" s="7">
        <f>$B3 * IFERROR(VLOOKUP("LULUCF|SO2|Infant mortality", US_national_yearly!$D:$AM, 27, FALSE) / VLOOKUP("LULUCF|SO2|Infant mortality", US_national_yearly!$D:$AM, 10, FALSE), 1)</f>
        <v>3.6054027130535284E-7</v>
      </c>
      <c r="T3" s="7">
        <f>$B3 * IFERROR(VLOOKUP("LULUCF|SO2|Infant mortality", US_national_yearly!$D:$AM, 28, FALSE) / VLOOKUP("LULUCF|SO2|Infant mortality", US_national_yearly!$D:$AM, 10, FALSE), 1)</f>
        <v>3.5865200915780238E-7</v>
      </c>
      <c r="U3" s="7">
        <f>$B3 * IFERROR(VLOOKUP("LULUCF|SO2|Infant mortality", US_national_yearly!$D:$AM, 29, FALSE) / VLOOKUP("LULUCF|SO2|Infant mortality", US_national_yearly!$D:$AM, 10, FALSE), 1)</f>
        <v>3.5676374701025181E-7</v>
      </c>
      <c r="V3" s="7">
        <f>$B3 * IFERROR(VLOOKUP("LULUCF|SO2|Infant mortality", US_national_yearly!$D:$AM, 30, FALSE) / VLOOKUP("LULUCF|SO2|Infant mortality", US_national_yearly!$D:$AM, 10, FALSE), 1)</f>
        <v>3.5487548486270146E-7</v>
      </c>
      <c r="W3" s="7">
        <f>$B3 * IFERROR(VLOOKUP("LULUCF|SO2|Infant mortality", US_national_yearly!$D:$AM, 31, FALSE) / VLOOKUP("LULUCF|SO2|Infant mortality", US_national_yearly!$D:$AM, 10, FALSE), 1)</f>
        <v>3.5298722271515094E-7</v>
      </c>
      <c r="X3" s="7">
        <f>$B3 * IFERROR(VLOOKUP("LULUCF|SO2|Infant mortality", US_national_yearly!$D:$AM, 32, FALSE) / VLOOKUP("LULUCF|SO2|Infant mortality", US_national_yearly!$D:$AM, 10, FALSE), 1)</f>
        <v>3.5092276933408918E-7</v>
      </c>
      <c r="Y3" s="7">
        <f>$B3 * IFERROR(VLOOKUP("LULUCF|SO2|Infant mortality", US_national_yearly!$D:$AM, 33, FALSE) / VLOOKUP("LULUCF|SO2|Infant mortality", US_national_yearly!$D:$AM, 10, FALSE), 1)</f>
        <v>3.4885831595302725E-7</v>
      </c>
      <c r="Z3" s="7">
        <f>$B3 * IFERROR(VLOOKUP("LULUCF|SO2|Infant mortality", US_national_yearly!$D:$AM, 34, FALSE) / VLOOKUP("LULUCF|SO2|Infant mortality", US_national_yearly!$D:$AM, 10, FALSE), 1)</f>
        <v>3.4679386257196543E-7</v>
      </c>
      <c r="AA3" s="7">
        <f>$B3 * IFERROR(VLOOKUP("LULUCF|SO2|Infant mortality", US_national_yearly!$D:$AM, 35, FALSE) / VLOOKUP("LULUCF|SO2|Infant mortality", US_national_yearly!$D:$AM, 10, FALSE), 1)</f>
        <v>3.4472940919090351E-7</v>
      </c>
      <c r="AB3" s="7">
        <f>$B3 * IFERROR(VLOOKUP("LULUCF|SO2|Infant mortality", US_national_yearly!$D:$AM, 36, FALSE) / VLOOKUP("LULUCF|SO2|Infant mortality", US_national_yearly!$D:$AM, 10, FALSE), 1)</f>
        <v>3.4266495580984174E-7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1.0666121697491808E-3</v>
      </c>
      <c r="C6" s="7">
        <f>$B6 * IFERROR(VLOOKUP("LULUCF|SO2|Asthma symptoms cough", US_national_yearly!$D:$AM, 11, FALSE) / VLOOKUP("LULUCF|SO2|Asthma symptoms cough", US_national_yearly!$D:$AM, 10, FALSE), 1)</f>
        <v>1.0666121697491808E-3</v>
      </c>
      <c r="D6" s="7">
        <f>$B6 * IFERROR(VLOOKUP("LULUCF|SO2|Asthma symptoms cough", US_national_yearly!$D:$AM, 12, FALSE) / VLOOKUP("LULUCF|SO2|Asthma symptoms cough", US_national_yearly!$D:$AM, 10, FALSE), 1)</f>
        <v>1.0666121697491808E-3</v>
      </c>
      <c r="E6" s="7">
        <f>$B6 * IFERROR(VLOOKUP("LULUCF|SO2|Asthma symptoms cough", US_national_yearly!$D:$AM, 13, FALSE) / VLOOKUP("LULUCF|SO2|Asthma symptoms cough", US_national_yearly!$D:$AM, 10, FALSE), 1)</f>
        <v>1.0666121697491808E-3</v>
      </c>
      <c r="F6" s="7">
        <f>$B6 * IFERROR(VLOOKUP("LULUCF|SO2|Asthma symptoms cough", US_national_yearly!$D:$AM, 14, FALSE) / VLOOKUP("LULUCF|SO2|Asthma symptoms cough", US_national_yearly!$D:$AM, 10, FALSE), 1)</f>
        <v>1.0666121697491808E-3</v>
      </c>
      <c r="G6" s="7">
        <f>$B6 * IFERROR(VLOOKUP("LULUCF|SO2|Asthma symptoms cough", US_national_yearly!$D:$AM, 15, FALSE) / VLOOKUP("LULUCF|SO2|Asthma symptoms cough", US_national_yearly!$D:$AM, 10, FALSE), 1)</f>
        <v>1.0666121697491808E-3</v>
      </c>
      <c r="H6" s="7">
        <f>$B6 * IFERROR(VLOOKUP("LULUCF|SO2|Asthma symptoms cough", US_national_yearly!$D:$AM, 16, FALSE) / VLOOKUP("LULUCF|SO2|Asthma symptoms cough", US_national_yearly!$D:$AM, 10, FALSE), 1)</f>
        <v>1.0666121697491808E-3</v>
      </c>
      <c r="I6" s="7">
        <f>$B6 * IFERROR(VLOOKUP("LULUCF|SO2|Asthma symptoms cough", US_national_yearly!$D:$AM, 17, FALSE) / VLOOKUP("LULUCF|SO2|Asthma symptoms cough", US_national_yearly!$D:$AM, 10, FALSE), 1)</f>
        <v>1.0666121697491808E-3</v>
      </c>
      <c r="J6" s="7">
        <f>$B6 * IFERROR(VLOOKUP("LULUCF|SO2|Asthma symptoms cough", US_national_yearly!$D:$AM, 18, FALSE) / VLOOKUP("LULUCF|SO2|Asthma symptoms cough", US_national_yearly!$D:$AM, 10, FALSE), 1)</f>
        <v>1.0666121697491808E-3</v>
      </c>
      <c r="K6" s="7">
        <f>$B6 * IFERROR(VLOOKUP("LULUCF|SO2|Asthma symptoms cough", US_national_yearly!$D:$AM, 19, FALSE) / VLOOKUP("LULUCF|SO2|Asthma symptoms cough", US_national_yearly!$D:$AM, 10, FALSE), 1)</f>
        <v>1.0666121697491808E-3</v>
      </c>
      <c r="L6" s="7">
        <f>$B6 * IFERROR(VLOOKUP("LULUCF|SO2|Asthma symptoms cough", US_national_yearly!$D:$AM, 20, FALSE) / VLOOKUP("LULUCF|SO2|Asthma symptoms cough", US_national_yearly!$D:$AM, 10, FALSE), 1)</f>
        <v>1.0666121697491808E-3</v>
      </c>
      <c r="M6" s="7">
        <f>$B6 * IFERROR(VLOOKUP("LULUCF|SO2|Asthma symptoms cough", US_national_yearly!$D:$AM, 21, FALSE) / VLOOKUP("LULUCF|SO2|Asthma symptoms cough", US_national_yearly!$D:$AM, 10, FALSE), 1)</f>
        <v>1.0666121697491808E-3</v>
      </c>
      <c r="N6" s="7">
        <f>$B6 * IFERROR(VLOOKUP("LULUCF|SO2|Asthma symptoms cough", US_national_yearly!$D:$AM, 22, FALSE) / VLOOKUP("LULUCF|SO2|Asthma symptoms cough", US_national_yearly!$D:$AM, 10, FALSE), 1)</f>
        <v>1.0666121697491808E-3</v>
      </c>
      <c r="O6" s="7">
        <f>$B6 * IFERROR(VLOOKUP("LULUCF|SO2|Asthma symptoms cough", US_national_yearly!$D:$AM, 23, FALSE) / VLOOKUP("LULUCF|SO2|Asthma symptoms cough", US_national_yearly!$D:$AM, 10, FALSE), 1)</f>
        <v>1.0666121697491808E-3</v>
      </c>
      <c r="P6" s="7">
        <f>$B6 * IFERROR(VLOOKUP("LULUCF|SO2|Asthma symptoms cough", US_national_yearly!$D:$AM, 24, FALSE) / VLOOKUP("LULUCF|SO2|Asthma symptoms cough", US_national_yearly!$D:$AM, 10, FALSE), 1)</f>
        <v>1.0666121697491808E-3</v>
      </c>
      <c r="Q6" s="7">
        <f>$B6 * IFERROR(VLOOKUP("LULUCF|SO2|Asthma symptoms cough", US_national_yearly!$D:$AM, 25, FALSE) / VLOOKUP("LULUCF|SO2|Asthma symptoms cough", US_national_yearly!$D:$AM, 10, FALSE), 1)</f>
        <v>1.0666121697491808E-3</v>
      </c>
      <c r="R6" s="7">
        <f>$B6 * IFERROR(VLOOKUP("LULUCF|SO2|Asthma symptoms cough", US_national_yearly!$D:$AM, 26, FALSE) / VLOOKUP("LULUCF|SO2|Asthma symptoms cough", US_national_yearly!$D:$AM, 10, FALSE), 1)</f>
        <v>1.0666121697491808E-3</v>
      </c>
      <c r="S6" s="7">
        <f>$B6 * IFERROR(VLOOKUP("LULUCF|SO2|Asthma symptoms cough", US_national_yearly!$D:$AM, 27, FALSE) / VLOOKUP("LULUCF|SO2|Asthma symptoms cough", US_national_yearly!$D:$AM, 10, FALSE), 1)</f>
        <v>1.0666121697491808E-3</v>
      </c>
      <c r="T6" s="7">
        <f>$B6 * IFERROR(VLOOKUP("LULUCF|SO2|Asthma symptoms cough", US_national_yearly!$D:$AM, 28, FALSE) / VLOOKUP("LULUCF|SO2|Asthma symptoms cough", US_national_yearly!$D:$AM, 10, FALSE), 1)</f>
        <v>1.0666121697491808E-3</v>
      </c>
      <c r="U6" s="7">
        <f>$B6 * IFERROR(VLOOKUP("LULUCF|SO2|Asthma symptoms cough", US_national_yearly!$D:$AM, 29, FALSE) / VLOOKUP("LULUCF|SO2|Asthma symptoms cough", US_national_yearly!$D:$AM, 10, FALSE), 1)</f>
        <v>1.0666121697491808E-3</v>
      </c>
      <c r="V6" s="7">
        <f>$B6 * IFERROR(VLOOKUP("LULUCF|SO2|Asthma symptoms cough", US_national_yearly!$D:$AM, 30, FALSE) / VLOOKUP("LULUCF|SO2|Asthma symptoms cough", US_national_yearly!$D:$AM, 10, FALSE), 1)</f>
        <v>1.0666121697491808E-3</v>
      </c>
      <c r="W6" s="7">
        <f>$B6 * IFERROR(VLOOKUP("LULUCF|SO2|Asthma symptoms cough", US_national_yearly!$D:$AM, 31, FALSE) / VLOOKUP("LULUCF|SO2|Asthma symptoms cough", US_national_yearly!$D:$AM, 10, FALSE), 1)</f>
        <v>1.0666121697491808E-3</v>
      </c>
      <c r="X6" s="7">
        <f>$B6 * IFERROR(VLOOKUP("LULUCF|SO2|Asthma symptoms cough", US_national_yearly!$D:$AM, 32, FALSE) / VLOOKUP("LULUCF|SO2|Asthma symptoms cough", US_national_yearly!$D:$AM, 10, FALSE), 1)</f>
        <v>1.0666121697491808E-3</v>
      </c>
      <c r="Y6" s="7">
        <f>$B6 * IFERROR(VLOOKUP("LULUCF|SO2|Asthma symptoms cough", US_national_yearly!$D:$AM, 33, FALSE) / VLOOKUP("LULUCF|SO2|Asthma symptoms cough", US_national_yearly!$D:$AM, 10, FALSE), 1)</f>
        <v>1.0666121697491808E-3</v>
      </c>
      <c r="Z6" s="7">
        <f>$B6 * IFERROR(VLOOKUP("LULUCF|SO2|Asthma symptoms cough", US_national_yearly!$D:$AM, 34, FALSE) / VLOOKUP("LULUCF|SO2|Asthma symptoms cough", US_national_yearly!$D:$AM, 10, FALSE), 1)</f>
        <v>1.0666121697491808E-3</v>
      </c>
      <c r="AA6" s="7">
        <f>$B6 * IFERROR(VLOOKUP("LULUCF|SO2|Asthma symptoms cough", US_national_yearly!$D:$AM, 35, FALSE) / VLOOKUP("LULUCF|SO2|Asthma symptoms cough", US_national_yearly!$D:$AM, 10, FALSE), 1)</f>
        <v>1.0666121697491808E-3</v>
      </c>
      <c r="AB6" s="7">
        <f>$B6 * IFERROR(VLOOKUP("LULUCF|SO2|Asthma symptoms cough", US_national_yearly!$D:$AM, 36, FALSE) / VLOOKUP("LULUCF|SO2|Asthma symptoms cough", US_national_yearly!$D:$AM, 10, FALSE), 1)</f>
        <v>1.0666121697491808E-3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1.4363384007172921E-3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1.4363384007172921E-3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1.4363384007172921E-3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1.4363384007172921E-3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1.4363384007172921E-3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1.4363384007172921E-3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1.4363384007172921E-3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1.4363384007172921E-3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1.4363384007172921E-3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1.4363384007172921E-3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1.4363384007172921E-3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1.4363384007172921E-3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1.4363384007172921E-3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1.4363384007172921E-3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1.4363384007172921E-3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1.4363384007172921E-3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1.4363384007172921E-3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1.4363384007172921E-3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1.4363384007172921E-3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1.4363384007172921E-3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1.4363384007172921E-3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1.4363384007172921E-3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1.4363384007172921E-3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1.4363384007172921E-3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1.4363384007172921E-3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1.4363384007172921E-3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1.4363384007172921E-3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2.1945160904849057E-3</v>
      </c>
      <c r="C8" s="7">
        <f>$B8 * IFERROR(VLOOKUP("LULUCF|SO2|Asthma symptoms wheeze", US_national_yearly!$D:$AM, 11, FALSE) / VLOOKUP("LULUCF|SO2|Asthma symptoms wheeze", US_national_yearly!$D:$AM, 10, FALSE), 1)</f>
        <v>2.1945160904849057E-3</v>
      </c>
      <c r="D8" s="7">
        <f>$B8 * IFERROR(VLOOKUP("LULUCF|SO2|Asthma symptoms wheeze", US_national_yearly!$D:$AM, 12, FALSE) / VLOOKUP("LULUCF|SO2|Asthma symptoms wheeze", US_national_yearly!$D:$AM, 10, FALSE), 1)</f>
        <v>2.1945160904849057E-3</v>
      </c>
      <c r="E8" s="7">
        <f>$B8 * IFERROR(VLOOKUP("LULUCF|SO2|Asthma symptoms wheeze", US_national_yearly!$D:$AM, 13, FALSE) / VLOOKUP("LULUCF|SO2|Asthma symptoms wheeze", US_national_yearly!$D:$AM, 10, FALSE), 1)</f>
        <v>2.1945160904849057E-3</v>
      </c>
      <c r="F8" s="7">
        <f>$B8 * IFERROR(VLOOKUP("LULUCF|SO2|Asthma symptoms wheeze", US_national_yearly!$D:$AM, 14, FALSE) / VLOOKUP("LULUCF|SO2|Asthma symptoms wheeze", US_national_yearly!$D:$AM, 10, FALSE), 1)</f>
        <v>2.1945160904849057E-3</v>
      </c>
      <c r="G8" s="7">
        <f>$B8 * IFERROR(VLOOKUP("LULUCF|SO2|Asthma symptoms wheeze", US_national_yearly!$D:$AM, 15, FALSE) / VLOOKUP("LULUCF|SO2|Asthma symptoms wheeze", US_national_yearly!$D:$AM, 10, FALSE), 1)</f>
        <v>2.1945160904849057E-3</v>
      </c>
      <c r="H8" s="7">
        <f>$B8 * IFERROR(VLOOKUP("LULUCF|SO2|Asthma symptoms wheeze", US_national_yearly!$D:$AM, 16, FALSE) / VLOOKUP("LULUCF|SO2|Asthma symptoms wheeze", US_national_yearly!$D:$AM, 10, FALSE), 1)</f>
        <v>2.1945160904849057E-3</v>
      </c>
      <c r="I8" s="7">
        <f>$B8 * IFERROR(VLOOKUP("LULUCF|SO2|Asthma symptoms wheeze", US_national_yearly!$D:$AM, 17, FALSE) / VLOOKUP("LULUCF|SO2|Asthma symptoms wheeze", US_national_yearly!$D:$AM, 10, FALSE), 1)</f>
        <v>2.1945160904849057E-3</v>
      </c>
      <c r="J8" s="7">
        <f>$B8 * IFERROR(VLOOKUP("LULUCF|SO2|Asthma symptoms wheeze", US_national_yearly!$D:$AM, 18, FALSE) / VLOOKUP("LULUCF|SO2|Asthma symptoms wheeze", US_national_yearly!$D:$AM, 10, FALSE), 1)</f>
        <v>2.1945160904849057E-3</v>
      </c>
      <c r="K8" s="7">
        <f>$B8 * IFERROR(VLOOKUP("LULUCF|SO2|Asthma symptoms wheeze", US_national_yearly!$D:$AM, 19, FALSE) / VLOOKUP("LULUCF|SO2|Asthma symptoms wheeze", US_national_yearly!$D:$AM, 10, FALSE), 1)</f>
        <v>2.1945160904849057E-3</v>
      </c>
      <c r="L8" s="7">
        <f>$B8 * IFERROR(VLOOKUP("LULUCF|SO2|Asthma symptoms wheeze", US_national_yearly!$D:$AM, 20, FALSE) / VLOOKUP("LULUCF|SO2|Asthma symptoms wheeze", US_national_yearly!$D:$AM, 10, FALSE), 1)</f>
        <v>2.1945160904849057E-3</v>
      </c>
      <c r="M8" s="7">
        <f>$B8 * IFERROR(VLOOKUP("LULUCF|SO2|Asthma symptoms wheeze", US_national_yearly!$D:$AM, 21, FALSE) / VLOOKUP("LULUCF|SO2|Asthma symptoms wheeze", US_national_yearly!$D:$AM, 10, FALSE), 1)</f>
        <v>2.1945160904849057E-3</v>
      </c>
      <c r="N8" s="7">
        <f>$B8 * IFERROR(VLOOKUP("LULUCF|SO2|Asthma symptoms wheeze", US_national_yearly!$D:$AM, 22, FALSE) / VLOOKUP("LULUCF|SO2|Asthma symptoms wheeze", US_national_yearly!$D:$AM, 10, FALSE), 1)</f>
        <v>2.1945160904849057E-3</v>
      </c>
      <c r="O8" s="7">
        <f>$B8 * IFERROR(VLOOKUP("LULUCF|SO2|Asthma symptoms wheeze", US_national_yearly!$D:$AM, 23, FALSE) / VLOOKUP("LULUCF|SO2|Asthma symptoms wheeze", US_national_yearly!$D:$AM, 10, FALSE), 1)</f>
        <v>2.1945160904849057E-3</v>
      </c>
      <c r="P8" s="7">
        <f>$B8 * IFERROR(VLOOKUP("LULUCF|SO2|Asthma symptoms wheeze", US_national_yearly!$D:$AM, 24, FALSE) / VLOOKUP("LULUCF|SO2|Asthma symptoms wheeze", US_national_yearly!$D:$AM, 10, FALSE), 1)</f>
        <v>2.1945160904849057E-3</v>
      </c>
      <c r="Q8" s="7">
        <f>$B8 * IFERROR(VLOOKUP("LULUCF|SO2|Asthma symptoms wheeze", US_national_yearly!$D:$AM, 25, FALSE) / VLOOKUP("LULUCF|SO2|Asthma symptoms wheeze", US_national_yearly!$D:$AM, 10, FALSE), 1)</f>
        <v>2.1945160904849057E-3</v>
      </c>
      <c r="R8" s="7">
        <f>$B8 * IFERROR(VLOOKUP("LULUCF|SO2|Asthma symptoms wheeze", US_national_yearly!$D:$AM, 26, FALSE) / VLOOKUP("LULUCF|SO2|Asthma symptoms wheeze", US_national_yearly!$D:$AM, 10, FALSE), 1)</f>
        <v>2.1945160904849057E-3</v>
      </c>
      <c r="S8" s="7">
        <f>$B8 * IFERROR(VLOOKUP("LULUCF|SO2|Asthma symptoms wheeze", US_national_yearly!$D:$AM, 27, FALSE) / VLOOKUP("LULUCF|SO2|Asthma symptoms wheeze", US_national_yearly!$D:$AM, 10, FALSE), 1)</f>
        <v>2.1945160904849057E-3</v>
      </c>
      <c r="T8" s="7">
        <f>$B8 * IFERROR(VLOOKUP("LULUCF|SO2|Asthma symptoms wheeze", US_national_yearly!$D:$AM, 28, FALSE) / VLOOKUP("LULUCF|SO2|Asthma symptoms wheeze", US_national_yearly!$D:$AM, 10, FALSE), 1)</f>
        <v>2.1945160904849057E-3</v>
      </c>
      <c r="U8" s="7">
        <f>$B8 * IFERROR(VLOOKUP("LULUCF|SO2|Asthma symptoms wheeze", US_national_yearly!$D:$AM, 29, FALSE) / VLOOKUP("LULUCF|SO2|Asthma symptoms wheeze", US_national_yearly!$D:$AM, 10, FALSE), 1)</f>
        <v>2.1945160904849057E-3</v>
      </c>
      <c r="V8" s="7">
        <f>$B8 * IFERROR(VLOOKUP("LULUCF|SO2|Asthma symptoms wheeze", US_national_yearly!$D:$AM, 30, FALSE) / VLOOKUP("LULUCF|SO2|Asthma symptoms wheeze", US_national_yearly!$D:$AM, 10, FALSE), 1)</f>
        <v>2.1945160904849057E-3</v>
      </c>
      <c r="W8" s="7">
        <f>$B8 * IFERROR(VLOOKUP("LULUCF|SO2|Asthma symptoms wheeze", US_national_yearly!$D:$AM, 31, FALSE) / VLOOKUP("LULUCF|SO2|Asthma symptoms wheeze", US_national_yearly!$D:$AM, 10, FALSE), 1)</f>
        <v>2.1945160904849057E-3</v>
      </c>
      <c r="X8" s="7">
        <f>$B8 * IFERROR(VLOOKUP("LULUCF|SO2|Asthma symptoms wheeze", US_national_yearly!$D:$AM, 32, FALSE) / VLOOKUP("LULUCF|SO2|Asthma symptoms wheeze", US_national_yearly!$D:$AM, 10, FALSE), 1)</f>
        <v>2.1945160904849057E-3</v>
      </c>
      <c r="Y8" s="7">
        <f>$B8 * IFERROR(VLOOKUP("LULUCF|SO2|Asthma symptoms wheeze", US_national_yearly!$D:$AM, 33, FALSE) / VLOOKUP("LULUCF|SO2|Asthma symptoms wheeze", US_national_yearly!$D:$AM, 10, FALSE), 1)</f>
        <v>2.1945160904849057E-3</v>
      </c>
      <c r="Z8" s="7">
        <f>$B8 * IFERROR(VLOOKUP("LULUCF|SO2|Asthma symptoms wheeze", US_national_yearly!$D:$AM, 34, FALSE) / VLOOKUP("LULUCF|SO2|Asthma symptoms wheeze", US_national_yearly!$D:$AM, 10, FALSE), 1)</f>
        <v>2.1945160904849057E-3</v>
      </c>
      <c r="AA8" s="7">
        <f>$B8 * IFERROR(VLOOKUP("LULUCF|SO2|Asthma symptoms wheeze", US_national_yearly!$D:$AM, 35, FALSE) / VLOOKUP("LULUCF|SO2|Asthma symptoms wheeze", US_national_yearly!$D:$AM, 10, FALSE), 1)</f>
        <v>2.1945160904849057E-3</v>
      </c>
      <c r="AB8" s="7">
        <f>$B8 * IFERROR(VLOOKUP("LULUCF|SO2|Asthma symptoms wheeze", US_national_yearly!$D:$AM, 36, FALSE) / VLOOKUP("LULUCF|SO2|Asthma symptoms wheeze", US_national_yearly!$D:$AM, 10, FALSE), 1)</f>
        <v>2.1945160904849057E-3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3.43772505531868E-5</v>
      </c>
      <c r="C12" s="7">
        <f>$B12 * IFERROR(VLOOKUP("LULUCF|SO2|Respiratory hospital admissions", US_national_yearly!$D:$AM, 11, FALSE) / VLOOKUP("LULUCF|SO2|Respiratory hospital admissions", US_national_yearly!$D:$AM, 10, FALSE), 1)</f>
        <v>3.4580009285323505E-5</v>
      </c>
      <c r="D12" s="7">
        <f>$B12 * IFERROR(VLOOKUP("LULUCF|SO2|Respiratory hospital admissions", US_national_yearly!$D:$AM, 12, FALSE) / VLOOKUP("LULUCF|SO2|Respiratory hospital admissions", US_national_yearly!$D:$AM, 10, FALSE), 1)</f>
        <v>3.478276801746021E-5</v>
      </c>
      <c r="E12" s="7">
        <f>$B12 * IFERROR(VLOOKUP("LULUCF|SO2|Respiratory hospital admissions", US_national_yearly!$D:$AM, 13, FALSE) / VLOOKUP("LULUCF|SO2|Respiratory hospital admissions", US_national_yearly!$D:$AM, 10, FALSE), 1)</f>
        <v>3.4985526749596921E-5</v>
      </c>
      <c r="F12" s="7">
        <f>$B12 * IFERROR(VLOOKUP("LULUCF|SO2|Respiratory hospital admissions", US_national_yearly!$D:$AM, 14, FALSE) / VLOOKUP("LULUCF|SO2|Respiratory hospital admissions", US_national_yearly!$D:$AM, 10, FALSE), 1)</f>
        <v>3.5188285481733626E-5</v>
      </c>
      <c r="G12" s="7">
        <f>$B12 * IFERROR(VLOOKUP("LULUCF|SO2|Respiratory hospital admissions", US_national_yearly!$D:$AM, 15, FALSE) / VLOOKUP("LULUCF|SO2|Respiratory hospital admissions", US_national_yearly!$D:$AM, 10, FALSE), 1)</f>
        <v>3.5409326699279675E-5</v>
      </c>
      <c r="H12" s="7">
        <f>$B12 * IFERROR(VLOOKUP("LULUCF|SO2|Respiratory hospital admissions", US_national_yearly!$D:$AM, 16, FALSE) / VLOOKUP("LULUCF|SO2|Respiratory hospital admissions", US_national_yearly!$D:$AM, 10, FALSE), 1)</f>
        <v>3.5630367916825724E-5</v>
      </c>
      <c r="I12" s="7">
        <f>$B12 * IFERROR(VLOOKUP("LULUCF|SO2|Respiratory hospital admissions", US_national_yearly!$D:$AM, 17, FALSE) / VLOOKUP("LULUCF|SO2|Respiratory hospital admissions", US_national_yearly!$D:$AM, 10, FALSE), 1)</f>
        <v>3.5848340875406501E-5</v>
      </c>
      <c r="J12" s="7">
        <f>$B12 * IFERROR(VLOOKUP("LULUCF|SO2|Respiratory hospital admissions", US_national_yearly!$D:$AM, 18, FALSE) / VLOOKUP("LULUCF|SO2|Respiratory hospital admissions", US_national_yearly!$D:$AM, 10, FALSE), 1)</f>
        <v>3.6066313833987284E-5</v>
      </c>
      <c r="K12" s="7">
        <f>$B12 * IFERROR(VLOOKUP("LULUCF|SO2|Respiratory hospital admissions", US_national_yearly!$D:$AM, 19, FALSE) / VLOOKUP("LULUCF|SO2|Respiratory hospital admissions", US_national_yearly!$D:$AM, 10, FALSE), 1)</f>
        <v>3.6284286792568047E-5</v>
      </c>
      <c r="L12" s="7">
        <f>$B12 * IFERROR(VLOOKUP("LULUCF|SO2|Respiratory hospital admissions", US_national_yearly!$D:$AM, 20, FALSE) / VLOOKUP("LULUCF|SO2|Respiratory hospital admissions", US_national_yearly!$D:$AM, 10, FALSE), 1)</f>
        <v>3.650225975114883E-5</v>
      </c>
      <c r="M12" s="7">
        <f>$B12 * IFERROR(VLOOKUP("LULUCF|SO2|Respiratory hospital admissions", US_national_yearly!$D:$AM, 21, FALSE) / VLOOKUP("LULUCF|SO2|Respiratory hospital admissions", US_national_yearly!$D:$AM, 10, FALSE), 1)</f>
        <v>3.6720232709729593E-5</v>
      </c>
      <c r="N12" s="7">
        <f>$B12 * IFERROR(VLOOKUP("LULUCF|SO2|Respiratory hospital admissions", US_national_yearly!$D:$AM, 22, FALSE) / VLOOKUP("LULUCF|SO2|Respiratory hospital admissions", US_national_yearly!$D:$AM, 10, FALSE), 1)</f>
        <v>3.6879346240974006E-5</v>
      </c>
      <c r="O12" s="7">
        <f>$B12 * IFERROR(VLOOKUP("LULUCF|SO2|Respiratory hospital admissions", US_national_yearly!$D:$AM, 23, FALSE) / VLOOKUP("LULUCF|SO2|Respiratory hospital admissions", US_national_yearly!$D:$AM, 10, FALSE), 1)</f>
        <v>3.7038459772218405E-5</v>
      </c>
      <c r="P12" s="7">
        <f>$B12 * IFERROR(VLOOKUP("LULUCF|SO2|Respiratory hospital admissions", US_national_yearly!$D:$AM, 24, FALSE) / VLOOKUP("LULUCF|SO2|Respiratory hospital admissions", US_national_yearly!$D:$AM, 10, FALSE), 1)</f>
        <v>3.7197573303462805E-5</v>
      </c>
      <c r="Q12" s="7">
        <f>$B12 * IFERROR(VLOOKUP("LULUCF|SO2|Respiratory hospital admissions", US_national_yearly!$D:$AM, 25, FALSE) / VLOOKUP("LULUCF|SO2|Respiratory hospital admissions", US_national_yearly!$D:$AM, 10, FALSE), 1)</f>
        <v>3.7356686834707211E-5</v>
      </c>
      <c r="R12" s="7">
        <f>$B12 * IFERROR(VLOOKUP("LULUCF|SO2|Respiratory hospital admissions", US_national_yearly!$D:$AM, 26, FALSE) / VLOOKUP("LULUCF|SO2|Respiratory hospital admissions", US_national_yearly!$D:$AM, 10, FALSE), 1)</f>
        <v>3.7515800365951611E-5</v>
      </c>
      <c r="S12" s="7">
        <f>$B12 * IFERROR(VLOOKUP("LULUCF|SO2|Respiratory hospital admissions", US_national_yearly!$D:$AM, 27, FALSE) / VLOOKUP("LULUCF|SO2|Respiratory hospital admissions", US_national_yearly!$D:$AM, 10, FALSE), 1)</f>
        <v>3.7667582534053754E-5</v>
      </c>
      <c r="T12" s="7">
        <f>$B12 * IFERROR(VLOOKUP("LULUCF|SO2|Respiratory hospital admissions", US_national_yearly!$D:$AM, 28, FALSE) / VLOOKUP("LULUCF|SO2|Respiratory hospital admissions", US_national_yearly!$D:$AM, 10, FALSE), 1)</f>
        <v>3.7819364702155891E-5</v>
      </c>
      <c r="U12" s="7">
        <f>$B12 * IFERROR(VLOOKUP("LULUCF|SO2|Respiratory hospital admissions", US_national_yearly!$D:$AM, 29, FALSE) / VLOOKUP("LULUCF|SO2|Respiratory hospital admissions", US_national_yearly!$D:$AM, 10, FALSE), 1)</f>
        <v>3.7971146870258034E-5</v>
      </c>
      <c r="V12" s="7">
        <f>$B12 * IFERROR(VLOOKUP("LULUCF|SO2|Respiratory hospital admissions", US_national_yearly!$D:$AM, 30, FALSE) / VLOOKUP("LULUCF|SO2|Respiratory hospital admissions", US_national_yearly!$D:$AM, 10, FALSE), 1)</f>
        <v>3.812292903836017E-5</v>
      </c>
      <c r="W12" s="7">
        <f>$B12 * IFERROR(VLOOKUP("LULUCF|SO2|Respiratory hospital admissions", US_national_yearly!$D:$AM, 31, FALSE) / VLOOKUP("LULUCF|SO2|Respiratory hospital admissions", US_national_yearly!$D:$AM, 10, FALSE), 1)</f>
        <v>3.8274711206462314E-5</v>
      </c>
      <c r="X12" s="7">
        <f>$B12 * IFERROR(VLOOKUP("LULUCF|SO2|Respiratory hospital admissions", US_national_yearly!$D:$AM, 32, FALSE) / VLOOKUP("LULUCF|SO2|Respiratory hospital admissions", US_national_yearly!$D:$AM, 10, FALSE), 1)</f>
        <v>3.8418727564320691E-5</v>
      </c>
      <c r="Y12" s="7">
        <f>$B12 * IFERROR(VLOOKUP("LULUCF|SO2|Respiratory hospital admissions", US_national_yearly!$D:$AM, 33, FALSE) / VLOOKUP("LULUCF|SO2|Respiratory hospital admissions", US_national_yearly!$D:$AM, 10, FALSE), 1)</f>
        <v>3.8562743922179061E-5</v>
      </c>
      <c r="Z12" s="7">
        <f>$B12 * IFERROR(VLOOKUP("LULUCF|SO2|Respiratory hospital admissions", US_national_yearly!$D:$AM, 34, FALSE) / VLOOKUP("LULUCF|SO2|Respiratory hospital admissions", US_national_yearly!$D:$AM, 10, FALSE), 1)</f>
        <v>3.8706760280037431E-5</v>
      </c>
      <c r="AA12" s="7">
        <f>$B12 * IFERROR(VLOOKUP("LULUCF|SO2|Respiratory hospital admissions", US_national_yearly!$D:$AM, 35, FALSE) / VLOOKUP("LULUCF|SO2|Respiratory hospital admissions", US_national_yearly!$D:$AM, 10, FALSE), 1)</f>
        <v>3.8850776637895802E-5</v>
      </c>
      <c r="AB12" s="7">
        <f>$B12 * IFERROR(VLOOKUP("LULUCF|SO2|Respiratory hospital admissions", US_national_yearly!$D:$AM, 36, FALSE) / VLOOKUP("LULUCF|SO2|Respiratory hospital admissions", US_national_yearly!$D:$AM, 10, FALSE), 1)</f>
        <v>3.8994792995754179E-5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1.8853714560485948E-4</v>
      </c>
      <c r="C13" s="7">
        <f>$B13 * IFERROR(VLOOKUP("LULUCF|SO2|Non-fatal heart attacks", US_national_yearly!$D:$AM, 11, FALSE) / VLOOKUP("LULUCF|SO2|Non-fatal heart attacks", US_national_yearly!$D:$AM, 10, FALSE), 1)</f>
        <v>1.9407191139535698E-4</v>
      </c>
      <c r="D13" s="7">
        <f>$B13 * IFERROR(VLOOKUP("LULUCF|SO2|Non-fatal heart attacks", US_national_yearly!$D:$AM, 12, FALSE) / VLOOKUP("LULUCF|SO2|Non-fatal heart attacks", US_national_yearly!$D:$AM, 10, FALSE), 1)</f>
        <v>1.9960667718585444E-4</v>
      </c>
      <c r="E13" s="7">
        <f>$B13 * IFERROR(VLOOKUP("LULUCF|SO2|Non-fatal heart attacks", US_national_yearly!$D:$AM, 13, FALSE) / VLOOKUP("LULUCF|SO2|Non-fatal heart attacks", US_national_yearly!$D:$AM, 10, FALSE), 1)</f>
        <v>2.0514144297635194E-4</v>
      </c>
      <c r="F13" s="7">
        <f>$B13 * IFERROR(VLOOKUP("LULUCF|SO2|Non-fatal heart attacks", US_national_yearly!$D:$AM, 14, FALSE) / VLOOKUP("LULUCF|SO2|Non-fatal heart attacks", US_national_yearly!$D:$AM, 10, FALSE), 1)</f>
        <v>2.1067620876684938E-4</v>
      </c>
      <c r="G13" s="7">
        <f>$B13 * IFERROR(VLOOKUP("LULUCF|SO2|Non-fatal heart attacks", US_national_yearly!$D:$AM, 15, FALSE) / VLOOKUP("LULUCF|SO2|Non-fatal heart attacks", US_national_yearly!$D:$AM, 10, FALSE), 1)</f>
        <v>2.1589600628817791E-4</v>
      </c>
      <c r="H13" s="7">
        <f>$B13 * IFERROR(VLOOKUP("LULUCF|SO2|Non-fatal heart attacks", US_national_yearly!$D:$AM, 16, FALSE) / VLOOKUP("LULUCF|SO2|Non-fatal heart attacks", US_national_yearly!$D:$AM, 10, FALSE), 1)</f>
        <v>2.2111580380950648E-4</v>
      </c>
      <c r="I13" s="7">
        <f>$B13 * IFERROR(VLOOKUP("LULUCF|SO2|Non-fatal heart attacks", US_national_yearly!$D:$AM, 17, FALSE) / VLOOKUP("LULUCF|SO2|Non-fatal heart attacks", US_national_yearly!$D:$AM, 10, FALSE), 1)</f>
        <v>2.2531610448333174E-4</v>
      </c>
      <c r="J13" s="7">
        <f>$B13 * IFERROR(VLOOKUP("LULUCF|SO2|Non-fatal heart attacks", US_national_yearly!$D:$AM, 18, FALSE) / VLOOKUP("LULUCF|SO2|Non-fatal heart attacks", US_national_yearly!$D:$AM, 10, FALSE), 1)</f>
        <v>2.2951640515715707E-4</v>
      </c>
      <c r="K13" s="7">
        <f>$B13 * IFERROR(VLOOKUP("LULUCF|SO2|Non-fatal heart attacks", US_national_yearly!$D:$AM, 19, FALSE) / VLOOKUP("LULUCF|SO2|Non-fatal heart attacks", US_national_yearly!$D:$AM, 10, FALSE), 1)</f>
        <v>2.3371670583098234E-4</v>
      </c>
      <c r="L13" s="7">
        <f>$B13 * IFERROR(VLOOKUP("LULUCF|SO2|Non-fatal heart attacks", US_national_yearly!$D:$AM, 20, FALSE) / VLOOKUP("LULUCF|SO2|Non-fatal heart attacks", US_national_yearly!$D:$AM, 10, FALSE), 1)</f>
        <v>2.3791700650480771E-4</v>
      </c>
      <c r="M13" s="7">
        <f>$B13 * IFERROR(VLOOKUP("LULUCF|SO2|Non-fatal heart attacks", US_national_yearly!$D:$AM, 21, FALSE) / VLOOKUP("LULUCF|SO2|Non-fatal heart attacks", US_national_yearly!$D:$AM, 10, FALSE), 1)</f>
        <v>2.4211730717863303E-4</v>
      </c>
      <c r="N13" s="7">
        <f>$B13 * IFERROR(VLOOKUP("LULUCF|SO2|Non-fatal heart attacks", US_national_yearly!$D:$AM, 22, FALSE) / VLOOKUP("LULUCF|SO2|Non-fatal heart attacks", US_national_yearly!$D:$AM, 10, FALSE), 1)</f>
        <v>2.4484461315251268E-4</v>
      </c>
      <c r="O13" s="7">
        <f>$B13 * IFERROR(VLOOKUP("LULUCF|SO2|Non-fatal heart attacks", US_national_yearly!$D:$AM, 23, FALSE) / VLOOKUP("LULUCF|SO2|Non-fatal heart attacks", US_national_yearly!$D:$AM, 10, FALSE), 1)</f>
        <v>2.4757191912639238E-4</v>
      </c>
      <c r="P13" s="7">
        <f>$B13 * IFERROR(VLOOKUP("LULUCF|SO2|Non-fatal heart attacks", US_national_yearly!$D:$AM, 24, FALSE) / VLOOKUP("LULUCF|SO2|Non-fatal heart attacks", US_national_yearly!$D:$AM, 10, FALSE), 1)</f>
        <v>2.5029922510027213E-4</v>
      </c>
      <c r="Q13" s="7">
        <f>$B13 * IFERROR(VLOOKUP("LULUCF|SO2|Non-fatal heart attacks", US_national_yearly!$D:$AM, 25, FALSE) / VLOOKUP("LULUCF|SO2|Non-fatal heart attacks", US_national_yearly!$D:$AM, 10, FALSE), 1)</f>
        <v>2.5302653107415178E-4</v>
      </c>
      <c r="R13" s="7">
        <f>$B13 * IFERROR(VLOOKUP("LULUCF|SO2|Non-fatal heart attacks", US_national_yearly!$D:$AM, 26, FALSE) / VLOOKUP("LULUCF|SO2|Non-fatal heart attacks", US_national_yearly!$D:$AM, 10, FALSE), 1)</f>
        <v>2.5575383704803148E-4</v>
      </c>
      <c r="S13" s="7">
        <f>$B13 * IFERROR(VLOOKUP("LULUCF|SO2|Non-fatal heart attacks", US_national_yearly!$D:$AM, 27, FALSE) / VLOOKUP("LULUCF|SO2|Non-fatal heart attacks", US_national_yearly!$D:$AM, 10, FALSE), 1)</f>
        <v>2.5717774815647333E-4</v>
      </c>
      <c r="T13" s="7">
        <f>$B13 * IFERROR(VLOOKUP("LULUCF|SO2|Non-fatal heart attacks", US_national_yearly!$D:$AM, 28, FALSE) / VLOOKUP("LULUCF|SO2|Non-fatal heart attacks", US_national_yearly!$D:$AM, 10, FALSE), 1)</f>
        <v>2.5860165926491513E-4</v>
      </c>
      <c r="U13" s="7">
        <f>$B13 * IFERROR(VLOOKUP("LULUCF|SO2|Non-fatal heart attacks", US_national_yearly!$D:$AM, 29, FALSE) / VLOOKUP("LULUCF|SO2|Non-fatal heart attacks", US_national_yearly!$D:$AM, 10, FALSE), 1)</f>
        <v>2.6002557037335693E-4</v>
      </c>
      <c r="V13" s="7">
        <f>$B13 * IFERROR(VLOOKUP("LULUCF|SO2|Non-fatal heart attacks", US_national_yearly!$D:$AM, 30, FALSE) / VLOOKUP("LULUCF|SO2|Non-fatal heart attacks", US_national_yearly!$D:$AM, 10, FALSE), 1)</f>
        <v>2.6144948148179874E-4</v>
      </c>
      <c r="W13" s="7">
        <f>$B13 * IFERROR(VLOOKUP("LULUCF|SO2|Non-fatal heart attacks", US_national_yearly!$D:$AM, 31, FALSE) / VLOOKUP("LULUCF|SO2|Non-fatal heart attacks", US_national_yearly!$D:$AM, 10, FALSE), 1)</f>
        <v>2.6287339259024059E-4</v>
      </c>
      <c r="X13" s="7">
        <f>$B13 * IFERROR(VLOOKUP("LULUCF|SO2|Non-fatal heart attacks", US_national_yearly!$D:$AM, 32, FALSE) / VLOOKUP("LULUCF|SO2|Non-fatal heart attacks", US_national_yearly!$D:$AM, 10, FALSE), 1)</f>
        <v>2.639483209221258E-4</v>
      </c>
      <c r="Y13" s="7">
        <f>$B13 * IFERROR(VLOOKUP("LULUCF|SO2|Non-fatal heart attacks", US_national_yearly!$D:$AM, 33, FALSE) / VLOOKUP("LULUCF|SO2|Non-fatal heart attacks", US_national_yearly!$D:$AM, 10, FALSE), 1)</f>
        <v>2.6502324925401096E-4</v>
      </c>
      <c r="Z13" s="7">
        <f>$B13 * IFERROR(VLOOKUP("LULUCF|SO2|Non-fatal heart attacks", US_national_yearly!$D:$AM, 34, FALSE) / VLOOKUP("LULUCF|SO2|Non-fatal heart attacks", US_national_yearly!$D:$AM, 10, FALSE), 1)</f>
        <v>2.6609817758589612E-4</v>
      </c>
      <c r="AA13" s="7">
        <f>$B13 * IFERROR(VLOOKUP("LULUCF|SO2|Non-fatal heart attacks", US_national_yearly!$D:$AM, 35, FALSE) / VLOOKUP("LULUCF|SO2|Non-fatal heart attacks", US_national_yearly!$D:$AM, 10, FALSE), 1)</f>
        <v>2.6717310591778127E-4</v>
      </c>
      <c r="AB13" s="7">
        <f>$B13 * IFERROR(VLOOKUP("LULUCF|SO2|Non-fatal heart attacks", US_national_yearly!$D:$AM, 36, FALSE) / VLOOKUP("LULUCF|SO2|Non-fatal heart attacks", US_national_yearly!$D:$AM, 10, FALSE), 1)</f>
        <v>2.6824803424966648E-4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0.13371175430749255</v>
      </c>
      <c r="C14" s="7">
        <f>$B14 * IFERROR(VLOOKUP("LULUCF|SO2|Minor restricted activity days", US_national_yearly!$D:$AM, 11, FALSE) / VLOOKUP("LULUCF|SO2|Minor restricted activity days", US_national_yearly!$D:$AM, 10, FALSE), 1)</f>
        <v>0.13404879708837178</v>
      </c>
      <c r="D14" s="7">
        <f>$B14 * IFERROR(VLOOKUP("LULUCF|SO2|Minor restricted activity days", US_national_yearly!$D:$AM, 12, FALSE) / VLOOKUP("LULUCF|SO2|Minor restricted activity days", US_national_yearly!$D:$AM, 10, FALSE), 1)</f>
        <v>0.13438583986925098</v>
      </c>
      <c r="E14" s="7">
        <f>$B14 * IFERROR(VLOOKUP("LULUCF|SO2|Minor restricted activity days", US_national_yearly!$D:$AM, 13, FALSE) / VLOOKUP("LULUCF|SO2|Minor restricted activity days", US_national_yearly!$D:$AM, 10, FALSE), 1)</f>
        <v>0.13472288265013024</v>
      </c>
      <c r="F14" s="7">
        <f>$B14 * IFERROR(VLOOKUP("LULUCF|SO2|Minor restricted activity days", US_national_yearly!$D:$AM, 14, FALSE) / VLOOKUP("LULUCF|SO2|Minor restricted activity days", US_national_yearly!$D:$AM, 10, FALSE), 1)</f>
        <v>0.13505992543100945</v>
      </c>
      <c r="G14" s="7">
        <f>$B14 * IFERROR(VLOOKUP("LULUCF|SO2|Minor restricted activity days", US_national_yearly!$D:$AM, 15, FALSE) / VLOOKUP("LULUCF|SO2|Minor restricted activity days", US_national_yearly!$D:$AM, 10, FALSE), 1)</f>
        <v>0.13555601929319597</v>
      </c>
      <c r="H14" s="7">
        <f>$B14 * IFERROR(VLOOKUP("LULUCF|SO2|Minor restricted activity days", US_national_yearly!$D:$AM, 16, FALSE) / VLOOKUP("LULUCF|SO2|Minor restricted activity days", US_national_yearly!$D:$AM, 10, FALSE), 1)</f>
        <v>0.13605211315538251</v>
      </c>
      <c r="I14" s="7">
        <f>$B14 * IFERROR(VLOOKUP("LULUCF|SO2|Minor restricted activity days", US_national_yearly!$D:$AM, 17, FALSE) / VLOOKUP("LULUCF|SO2|Minor restricted activity days", US_national_yearly!$D:$AM, 10, FALSE), 1)</f>
        <v>0.13689815499597591</v>
      </c>
      <c r="J14" s="7">
        <f>$B14 * IFERROR(VLOOKUP("LULUCF|SO2|Minor restricted activity days", US_national_yearly!$D:$AM, 18, FALSE) / VLOOKUP("LULUCF|SO2|Minor restricted activity days", US_national_yearly!$D:$AM, 10, FALSE), 1)</f>
        <v>0.1377441968365693</v>
      </c>
      <c r="K14" s="7">
        <f>$B14 * IFERROR(VLOOKUP("LULUCF|SO2|Minor restricted activity days", US_national_yearly!$D:$AM, 19, FALSE) / VLOOKUP("LULUCF|SO2|Minor restricted activity days", US_national_yearly!$D:$AM, 10, FALSE), 1)</f>
        <v>0.13859023867716269</v>
      </c>
      <c r="L14" s="7">
        <f>$B14 * IFERROR(VLOOKUP("LULUCF|SO2|Minor restricted activity days", US_national_yearly!$D:$AM, 20, FALSE) / VLOOKUP("LULUCF|SO2|Minor restricted activity days", US_national_yearly!$D:$AM, 10, FALSE), 1)</f>
        <v>0.13943628051775608</v>
      </c>
      <c r="M14" s="7">
        <f>$B14 * IFERROR(VLOOKUP("LULUCF|SO2|Minor restricted activity days", US_national_yearly!$D:$AM, 21, FALSE) / VLOOKUP("LULUCF|SO2|Minor restricted activity days", US_national_yearly!$D:$AM, 10, FALSE), 1)</f>
        <v>0.14028232235834948</v>
      </c>
      <c r="N14" s="7">
        <f>$B14 * IFERROR(VLOOKUP("LULUCF|SO2|Minor restricted activity days", US_national_yearly!$D:$AM, 22, FALSE) / VLOOKUP("LULUCF|SO2|Minor restricted activity days", US_national_yearly!$D:$AM, 10, FALSE), 1)</f>
        <v>0.14143957184127182</v>
      </c>
      <c r="O14" s="7">
        <f>$B14 * IFERROR(VLOOKUP("LULUCF|SO2|Minor restricted activity days", US_national_yearly!$D:$AM, 23, FALSE) / VLOOKUP("LULUCF|SO2|Minor restricted activity days", US_national_yearly!$D:$AM, 10, FALSE), 1)</f>
        <v>0.14259682132419413</v>
      </c>
      <c r="P14" s="7">
        <f>$B14 * IFERROR(VLOOKUP("LULUCF|SO2|Minor restricted activity days", US_national_yearly!$D:$AM, 24, FALSE) / VLOOKUP("LULUCF|SO2|Minor restricted activity days", US_national_yearly!$D:$AM, 10, FALSE), 1)</f>
        <v>0.14375407080711647</v>
      </c>
      <c r="Q14" s="7">
        <f>$B14 * IFERROR(VLOOKUP("LULUCF|SO2|Minor restricted activity days", US_national_yearly!$D:$AM, 25, FALSE) / VLOOKUP("LULUCF|SO2|Minor restricted activity days", US_national_yearly!$D:$AM, 10, FALSE), 1)</f>
        <v>0.14491132029003881</v>
      </c>
      <c r="R14" s="7">
        <f>$B14 * IFERROR(VLOOKUP("LULUCF|SO2|Minor restricted activity days", US_national_yearly!$D:$AM, 26, FALSE) / VLOOKUP("LULUCF|SO2|Minor restricted activity days", US_national_yearly!$D:$AM, 10, FALSE), 1)</f>
        <v>0.14606856977296112</v>
      </c>
      <c r="S14" s="7">
        <f>$B14 * IFERROR(VLOOKUP("LULUCF|SO2|Minor restricted activity days", US_national_yearly!$D:$AM, 27, FALSE) / VLOOKUP("LULUCF|SO2|Minor restricted activity days", US_national_yearly!$D:$AM, 10, FALSE), 1)</f>
        <v>0.14724849888534941</v>
      </c>
      <c r="T14" s="7">
        <f>$B14 * IFERROR(VLOOKUP("LULUCF|SO2|Minor restricted activity days", US_national_yearly!$D:$AM, 28, FALSE) / VLOOKUP("LULUCF|SO2|Minor restricted activity days", US_national_yearly!$D:$AM, 10, FALSE), 1)</f>
        <v>0.14842842799773767</v>
      </c>
      <c r="U14" s="7">
        <f>$B14 * IFERROR(VLOOKUP("LULUCF|SO2|Minor restricted activity days", US_national_yearly!$D:$AM, 29, FALSE) / VLOOKUP("LULUCF|SO2|Minor restricted activity days", US_national_yearly!$D:$AM, 10, FALSE), 1)</f>
        <v>0.14960835711012596</v>
      </c>
      <c r="V14" s="7">
        <f>$B14 * IFERROR(VLOOKUP("LULUCF|SO2|Minor restricted activity days", US_national_yearly!$D:$AM, 30, FALSE) / VLOOKUP("LULUCF|SO2|Minor restricted activity days", US_national_yearly!$D:$AM, 10, FALSE), 1)</f>
        <v>0.15078828622251422</v>
      </c>
      <c r="W14" s="7">
        <f>$B14 * IFERROR(VLOOKUP("LULUCF|SO2|Minor restricted activity days", US_national_yearly!$D:$AM, 31, FALSE) / VLOOKUP("LULUCF|SO2|Minor restricted activity days", US_national_yearly!$D:$AM, 10, FALSE), 1)</f>
        <v>0.15196821533490254</v>
      </c>
      <c r="X14" s="7">
        <f>$B14 * IFERROR(VLOOKUP("LULUCF|SO2|Minor restricted activity days", US_national_yearly!$D:$AM, 32, FALSE) / VLOOKUP("LULUCF|SO2|Minor restricted activity days", US_national_yearly!$D:$AM, 10, FALSE), 1)</f>
        <v>0.15300586896209362</v>
      </c>
      <c r="Y14" s="7">
        <f>$B14 * IFERROR(VLOOKUP("LULUCF|SO2|Minor restricted activity days", US_national_yearly!$D:$AM, 33, FALSE) / VLOOKUP("LULUCF|SO2|Minor restricted activity days", US_national_yearly!$D:$AM, 10, FALSE), 1)</f>
        <v>0.15404352258928469</v>
      </c>
      <c r="Z14" s="7">
        <f>$B14 * IFERROR(VLOOKUP("LULUCF|SO2|Minor restricted activity days", US_national_yearly!$D:$AM, 34, FALSE) / VLOOKUP("LULUCF|SO2|Minor restricted activity days", US_national_yearly!$D:$AM, 10, FALSE), 1)</f>
        <v>0.1550811762164758</v>
      </c>
      <c r="AA14" s="7">
        <f>$B14 * IFERROR(VLOOKUP("LULUCF|SO2|Minor restricted activity days", US_national_yearly!$D:$AM, 35, FALSE) / VLOOKUP("LULUCF|SO2|Minor restricted activity days", US_national_yearly!$D:$AM, 10, FALSE), 1)</f>
        <v>0.15611882984366685</v>
      </c>
      <c r="AB14" s="7">
        <f>$B14 * IFERROR(VLOOKUP("LULUCF|SO2|Minor restricted activity days", US_national_yearly!$D:$AM, 36, FALSE) / VLOOKUP("LULUCF|SO2|Minor restricted activity days", US_national_yearly!$D:$AM, 10, FALSE), 1)</f>
        <v>0.15715648347085795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2.2563422044749683E-2</v>
      </c>
      <c r="C15" s="7">
        <f>$B15 * IFERROR(VLOOKUP("LULUCF|SO2|Work loss days", US_national_yearly!$D:$AM, 11, FALSE) / VLOOKUP("LULUCF|SO2|Work loss days", US_national_yearly!$D:$AM, 10, FALSE), 1)</f>
        <v>2.263652394603595E-2</v>
      </c>
      <c r="D15" s="7">
        <f>$B15 * IFERROR(VLOOKUP("LULUCF|SO2|Work loss days", US_national_yearly!$D:$AM, 12, FALSE) / VLOOKUP("LULUCF|SO2|Work loss days", US_national_yearly!$D:$AM, 10, FALSE), 1)</f>
        <v>2.2709625847322213E-2</v>
      </c>
      <c r="E15" s="7">
        <f>$B15 * IFERROR(VLOOKUP("LULUCF|SO2|Work loss days", US_national_yearly!$D:$AM, 13, FALSE) / VLOOKUP("LULUCF|SO2|Work loss days", US_national_yearly!$D:$AM, 10, FALSE), 1)</f>
        <v>2.278272774860848E-2</v>
      </c>
      <c r="F15" s="7">
        <f>$B15 * IFERROR(VLOOKUP("LULUCF|SO2|Work loss days", US_national_yearly!$D:$AM, 14, FALSE) / VLOOKUP("LULUCF|SO2|Work loss days", US_national_yearly!$D:$AM, 10, FALSE), 1)</f>
        <v>2.2855829649894743E-2</v>
      </c>
      <c r="G15" s="7">
        <f>$B15 * IFERROR(VLOOKUP("LULUCF|SO2|Work loss days", US_national_yearly!$D:$AM, 15, FALSE) / VLOOKUP("LULUCF|SO2|Work loss days", US_national_yearly!$D:$AM, 10, FALSE), 1)</f>
        <v>2.2951346228514573E-2</v>
      </c>
      <c r="H15" s="7">
        <f>$B15 * IFERROR(VLOOKUP("LULUCF|SO2|Work loss days", US_national_yearly!$D:$AM, 16, FALSE) / VLOOKUP("LULUCF|SO2|Work loss days", US_national_yearly!$D:$AM, 10, FALSE), 1)</f>
        <v>2.3046862807134395E-2</v>
      </c>
      <c r="I15" s="7">
        <f>$B15 * IFERROR(VLOOKUP("LULUCF|SO2|Work loss days", US_national_yearly!$D:$AM, 17, FALSE) / VLOOKUP("LULUCF|SO2|Work loss days", US_national_yearly!$D:$AM, 10, FALSE), 1)</f>
        <v>2.3186590739479571E-2</v>
      </c>
      <c r="J15" s="7">
        <f>$B15 * IFERROR(VLOOKUP("LULUCF|SO2|Work loss days", US_national_yearly!$D:$AM, 18, FALSE) / VLOOKUP("LULUCF|SO2|Work loss days", US_national_yearly!$D:$AM, 10, FALSE), 1)</f>
        <v>2.332631867182474E-2</v>
      </c>
      <c r="K15" s="7">
        <f>$B15 * IFERROR(VLOOKUP("LULUCF|SO2|Work loss days", US_national_yearly!$D:$AM, 19, FALSE) / VLOOKUP("LULUCF|SO2|Work loss days", US_national_yearly!$D:$AM, 10, FALSE), 1)</f>
        <v>2.3466046604169916E-2</v>
      </c>
      <c r="L15" s="7">
        <f>$B15 * IFERROR(VLOOKUP("LULUCF|SO2|Work loss days", US_national_yearly!$D:$AM, 20, FALSE) / VLOOKUP("LULUCF|SO2|Work loss days", US_national_yearly!$D:$AM, 10, FALSE), 1)</f>
        <v>2.3605774536515092E-2</v>
      </c>
      <c r="M15" s="7">
        <f>$B15 * IFERROR(VLOOKUP("LULUCF|SO2|Work loss days", US_national_yearly!$D:$AM, 21, FALSE) / VLOOKUP("LULUCF|SO2|Work loss days", US_national_yearly!$D:$AM, 10, FALSE), 1)</f>
        <v>2.3745502468860265E-2</v>
      </c>
      <c r="N15" s="7">
        <f>$B15 * IFERROR(VLOOKUP("LULUCF|SO2|Work loss days", US_national_yearly!$D:$AM, 22, FALSE) / VLOOKUP("LULUCF|SO2|Work loss days", US_national_yearly!$D:$AM, 10, FALSE), 1)</f>
        <v>2.3920698653028896E-2</v>
      </c>
      <c r="O15" s="7">
        <f>$B15 * IFERROR(VLOOKUP("LULUCF|SO2|Work loss days", US_national_yearly!$D:$AM, 23, FALSE) / VLOOKUP("LULUCF|SO2|Work loss days", US_national_yearly!$D:$AM, 10, FALSE), 1)</f>
        <v>2.4095894837197523E-2</v>
      </c>
      <c r="P15" s="7">
        <f>$B15 * IFERROR(VLOOKUP("LULUCF|SO2|Work loss days", US_national_yearly!$D:$AM, 24, FALSE) / VLOOKUP("LULUCF|SO2|Work loss days", US_national_yearly!$D:$AM, 10, FALSE), 1)</f>
        <v>2.4271091021366147E-2</v>
      </c>
      <c r="Q15" s="7">
        <f>$B15 * IFERROR(VLOOKUP("LULUCF|SO2|Work loss days", US_national_yearly!$D:$AM, 25, FALSE) / VLOOKUP("LULUCF|SO2|Work loss days", US_national_yearly!$D:$AM, 10, FALSE), 1)</f>
        <v>2.4446287205534774E-2</v>
      </c>
      <c r="R15" s="7">
        <f>$B15 * IFERROR(VLOOKUP("LULUCF|SO2|Work loss days", US_national_yearly!$D:$AM, 26, FALSE) / VLOOKUP("LULUCF|SO2|Work loss days", US_national_yearly!$D:$AM, 10, FALSE), 1)</f>
        <v>2.4621483389703405E-2</v>
      </c>
      <c r="S15" s="7">
        <f>$B15 * IFERROR(VLOOKUP("LULUCF|SO2|Work loss days", US_national_yearly!$D:$AM, 27, FALSE) / VLOOKUP("LULUCF|SO2|Work loss days", US_national_yearly!$D:$AM, 10, FALSE), 1)</f>
        <v>2.4817264547897403E-2</v>
      </c>
      <c r="T15" s="7">
        <f>$B15 * IFERROR(VLOOKUP("LULUCF|SO2|Work loss days", US_national_yearly!$D:$AM, 28, FALSE) / VLOOKUP("LULUCF|SO2|Work loss days", US_national_yearly!$D:$AM, 10, FALSE), 1)</f>
        <v>2.5013045706091409E-2</v>
      </c>
      <c r="U15" s="7">
        <f>$B15 * IFERROR(VLOOKUP("LULUCF|SO2|Work loss days", US_national_yearly!$D:$AM, 29, FALSE) / VLOOKUP("LULUCF|SO2|Work loss days", US_national_yearly!$D:$AM, 10, FALSE), 1)</f>
        <v>2.5208826864285407E-2</v>
      </c>
      <c r="V15" s="7">
        <f>$B15 * IFERROR(VLOOKUP("LULUCF|SO2|Work loss days", US_national_yearly!$D:$AM, 30, FALSE) / VLOOKUP("LULUCF|SO2|Work loss days", US_national_yearly!$D:$AM, 10, FALSE), 1)</f>
        <v>2.5404608022479406E-2</v>
      </c>
      <c r="W15" s="7">
        <f>$B15 * IFERROR(VLOOKUP("LULUCF|SO2|Work loss days", US_national_yearly!$D:$AM, 31, FALSE) / VLOOKUP("LULUCF|SO2|Work loss days", US_national_yearly!$D:$AM, 10, FALSE), 1)</f>
        <v>2.5600389180673411E-2</v>
      </c>
      <c r="X15" s="7">
        <f>$B15 * IFERROR(VLOOKUP("LULUCF|SO2|Work loss days", US_national_yearly!$D:$AM, 32, FALSE) / VLOOKUP("LULUCF|SO2|Work loss days", US_national_yearly!$D:$AM, 10, FALSE), 1)</f>
        <v>2.5776173674919425E-2</v>
      </c>
      <c r="Y15" s="7">
        <f>$B15 * IFERROR(VLOOKUP("LULUCF|SO2|Work loss days", US_national_yearly!$D:$AM, 33, FALSE) / VLOOKUP("LULUCF|SO2|Work loss days", US_national_yearly!$D:$AM, 10, FALSE), 1)</f>
        <v>2.5951958169165443E-2</v>
      </c>
      <c r="Z15" s="7">
        <f>$B15 * IFERROR(VLOOKUP("LULUCF|SO2|Work loss days", US_national_yearly!$D:$AM, 34, FALSE) / VLOOKUP("LULUCF|SO2|Work loss days", US_national_yearly!$D:$AM, 10, FALSE), 1)</f>
        <v>2.6127742663411457E-2</v>
      </c>
      <c r="AA15" s="7">
        <f>$B15 * IFERROR(VLOOKUP("LULUCF|SO2|Work loss days", US_national_yearly!$D:$AM, 35, FALSE) / VLOOKUP("LULUCF|SO2|Work loss days", US_national_yearly!$D:$AM, 10, FALSE), 1)</f>
        <v>2.6303527157657474E-2</v>
      </c>
      <c r="AB15" s="7">
        <f>$B15 * IFERROR(VLOOKUP("LULUCF|SO2|Work loss days", US_national_yearly!$D:$AM, 36, FALSE) / VLOOKUP("LULUCF|SO2|Work loss days", US_national_yearly!$D:$AM, 10, FALSE), 1)</f>
        <v>2.6479311651903491E-2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5.2483367318825881E-5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5.4070665327496617E-5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5.5657963336167353E-5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5.7245261344838089E-5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5.8832559353508832E-5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6.0353039917365674E-5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6.1873520481222529E-5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6.3176275605256031E-5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6.4479030729289546E-5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6.5781785853323061E-5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6.7084540977356563E-5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6.8387296101390065E-5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6.926245079044851E-5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7.0137605479506955E-5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7.10127601685654E-5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7.1887914857623832E-5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7.2763069546682291E-5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7.3223338602054964E-5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7.3683607657427651E-5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7.4143876712800324E-5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7.460414576817301E-5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7.5064414823545697E-5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7.5373408655749876E-5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7.5682402487954056E-5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7.5991396320158249E-5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7.6300390152362442E-5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7.6609383984566607E-5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2026-06-15T17:17:08Z</dcterms:modified>
</cp:coreProperties>
</file>