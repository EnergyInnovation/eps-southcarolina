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SC\trans\SYNoEVC\"/>
    </mc:Choice>
  </mc:AlternateContent>
  <xr:revisionPtr revIDLastSave="0" documentId="8_{A0404C82-DD2A-422B-BFF1-6A170AFEB337}" xr6:coauthVersionLast="47" xr6:coauthVersionMax="47" xr10:uidLastSave="{00000000-0000-0000-0000-000000000000}"/>
  <bookViews>
    <workbookView xWindow="117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F9" i="9" l="1"/>
  <c r="E2" i="3"/>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<sst xmlns="http://schemas.openxmlformats.org/spreadsheetml/2006/main" count="212" uniqueCount="159">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</sst>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89</v>
      </c>
      <c r="C1" s="52">
        <v>45258</v>
      </c>
      <c r="F1" s="51" t="s">
        <v>49</v>
      </c>
      <c r="G1" s="51" t="s">
        <v>107</v>
      </c>
    </row>
    <row r="2" spans="1:7">
      <c r="B2" t="str">
        <f>LOOKUP(B1,F1:G50,G1:G50)</f>
        <v>SC</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South Carolina</v>
      </c>
      <c r="B6">
        <f>SUMIFS('2022'!C:C,'2022'!A:A,'BNoEVC-calcs'!A6)</f>
        <v>987</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987</v>
      </c>
      <c r="C9">
        <f>B9</f>
        <v>987</v>
      </c>
      <c r="D9">
        <f>C9*D3</f>
        <v>1801.9260815148907</v>
      </c>
      <c r="E9">
        <f t="shared" ref="E9:AE9" si="1">D9*E3</f>
        <v>2611.182304773974</v>
      </c>
      <c r="F9">
        <f t="shared" si="1"/>
        <v>3430.0772870679293</v>
      </c>
      <c r="G9">
        <f t="shared" si="1"/>
        <v>4259.7450000480258</v>
      </c>
      <c r="H9">
        <f t="shared" si="1"/>
        <v>4635.5599606340547</v>
      </c>
      <c r="I9">
        <f t="shared" si="1"/>
        <v>5024.4155952084402</v>
      </c>
      <c r="J9">
        <f t="shared" si="1"/>
        <v>5426.8788895968692</v>
      </c>
      <c r="K9">
        <f t="shared" si="1"/>
        <v>5844.0838154502908</v>
      </c>
      <c r="L9">
        <f t="shared" si="1"/>
        <v>6276.5973585943921</v>
      </c>
      <c r="M9">
        <f t="shared" si="1"/>
        <v>6548.086927273569</v>
      </c>
      <c r="N9">
        <f t="shared" si="1"/>
        <v>6819.5764959528524</v>
      </c>
      <c r="O9">
        <f t="shared" si="1"/>
        <v>7091.0660646320284</v>
      </c>
      <c r="P9">
        <f t="shared" si="1"/>
        <v>7362.5556333112045</v>
      </c>
      <c r="Q9">
        <f t="shared" si="1"/>
        <v>7634.0452019904878</v>
      </c>
      <c r="R9">
        <f t="shared" si="1"/>
        <v>7905.5347706696648</v>
      </c>
      <c r="S9">
        <f t="shared" si="1"/>
        <v>8177.0243393488408</v>
      </c>
      <c r="T9">
        <f t="shared" si="1"/>
        <v>8448.5139080280169</v>
      </c>
      <c r="U9">
        <f t="shared" si="1"/>
        <v>8720.0034767072993</v>
      </c>
      <c r="V9">
        <f t="shared" si="1"/>
        <v>8991.4930453864763</v>
      </c>
      <c r="W9">
        <f t="shared" si="1"/>
        <v>9262.9826140656514</v>
      </c>
      <c r="X9">
        <f t="shared" si="1"/>
        <v>9534.4721827449357</v>
      </c>
      <c r="Y9">
        <f t="shared" si="1"/>
        <v>9805.9617514241127</v>
      </c>
      <c r="Z9">
        <f t="shared" si="1"/>
        <v>10077.45132010329</v>
      </c>
      <c r="AA9">
        <f t="shared" si="1"/>
        <v>10348.940888782467</v>
      </c>
      <c r="AB9">
        <f t="shared" si="1"/>
        <v>10620.430457461749</v>
      </c>
      <c r="AC9">
        <f t="shared" si="1"/>
        <v>10891.920026140924</v>
      </c>
      <c r="AD9">
        <f t="shared" si="1"/>
        <v>11163.409594820099</v>
      </c>
      <c r="AE9">
        <f t="shared" si="1"/>
        <v>11434.899163499384</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987</v>
      </c>
      <c r="C2" s="54">
        <f>'BNoEVC-calcs'!C9</f>
        <v>987</v>
      </c>
      <c r="D2" s="54">
        <f>'BNoEVC-calcs'!D9</f>
        <v>1801.9260815148907</v>
      </c>
      <c r="E2" s="54">
        <f>'BNoEVC-calcs'!E9</f>
        <v>2611.182304773974</v>
      </c>
      <c r="F2" s="54">
        <f>'BNoEVC-calcs'!F9</f>
        <v>3430.0772870679293</v>
      </c>
      <c r="G2" s="54">
        <f>'BNoEVC-calcs'!G9</f>
        <v>4259.7450000480258</v>
      </c>
      <c r="H2" s="54">
        <f>'BNoEVC-calcs'!H9</f>
        <v>4635.5599606340547</v>
      </c>
      <c r="I2" s="54">
        <f>'BNoEVC-calcs'!I9</f>
        <v>5024.4155952084402</v>
      </c>
      <c r="J2" s="54">
        <f>'BNoEVC-calcs'!J9</f>
        <v>5426.8788895968692</v>
      </c>
      <c r="K2" s="54">
        <f>'BNoEVC-calcs'!K9</f>
        <v>5844.0838154502908</v>
      </c>
      <c r="L2" s="54">
        <f>'BNoEVC-calcs'!L9</f>
        <v>6276.5973585943921</v>
      </c>
      <c r="M2" s="54">
        <f>'BNoEVC-calcs'!M9</f>
        <v>6548.086927273569</v>
      </c>
      <c r="N2" s="54">
        <f>'BNoEVC-calcs'!N9</f>
        <v>6819.5764959528524</v>
      </c>
      <c r="O2" s="54">
        <f>'BNoEVC-calcs'!O9</f>
        <v>7091.0660646320284</v>
      </c>
      <c r="P2" s="54">
        <f>'BNoEVC-calcs'!P9</f>
        <v>7362.5556333112045</v>
      </c>
      <c r="Q2" s="54">
        <f>'BNoEVC-calcs'!Q9</f>
        <v>7634.0452019904878</v>
      </c>
      <c r="R2" s="54">
        <f>'BNoEVC-calcs'!R9</f>
        <v>7905.5347706696648</v>
      </c>
      <c r="S2" s="54">
        <f>'BNoEVC-calcs'!S9</f>
        <v>8177.0243393488408</v>
      </c>
      <c r="T2" s="54">
        <f>'BNoEVC-calcs'!T9</f>
        <v>8448.5139080280169</v>
      </c>
      <c r="U2" s="54">
        <f>'BNoEVC-calcs'!U9</f>
        <v>8720.0034767072993</v>
      </c>
      <c r="V2" s="54">
        <f>'BNoEVC-calcs'!V9</f>
        <v>8991.4930453864763</v>
      </c>
      <c r="W2" s="54">
        <f>'BNoEVC-calcs'!W9</f>
        <v>9262.9826140656514</v>
      </c>
      <c r="X2" s="54">
        <f>'BNoEVC-calcs'!X9</f>
        <v>9534.4721827449357</v>
      </c>
      <c r="Y2" s="54">
        <f>'BNoEVC-calcs'!Y9</f>
        <v>9805.9617514241127</v>
      </c>
      <c r="Z2" s="54">
        <f>'BNoEVC-calcs'!Z9</f>
        <v>10077.45132010329</v>
      </c>
      <c r="AA2" s="54">
        <f>'BNoEVC-calcs'!AA9</f>
        <v>10348.940888782467</v>
      </c>
      <c r="AB2" s="54">
        <f>'BNoEVC-calcs'!AB9</f>
        <v>10620.430457461749</v>
      </c>
      <c r="AC2" s="54">
        <f>'BNoEVC-calcs'!AC9</f>
        <v>10891.920026140924</v>
      </c>
      <c r="AD2" s="54">
        <f>'BNoEVC-calcs'!AD9</f>
        <v>11163.409594820099</v>
      </c>
      <c r="AE2" s="54">
        <f>'BNoEVC-calcs'!AE9</f>
        <v>11434.899163499384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2023-11-28T22:20:27Z</dcterms:modified>
</cp:coreProperties>
</file>