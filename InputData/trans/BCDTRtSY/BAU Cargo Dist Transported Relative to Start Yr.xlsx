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SC\trans\BCDTRtSY\"/>
    </mc:Choice>
  </mc:AlternateContent>
  <xr:revisionPtr revIDLastSave="0" documentId="8_{BF6D8781-573C-47C3-96DE-BF7571D03D24}"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<sst xmlns="http://schemas.openxmlformats.org/spreadsheetml/2006/main" count="6428" uniqueCount="3038">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</sst>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2925</v>
      </c>
      <c r="C1" s="77">
        <v>46248</v>
      </c>
      <c r="H1" t="s">
        <v>2981</v>
      </c>
      <c r="I1" t="s">
        <v>2982</v>
      </c>
    </row>
    <row r="2" spans="1:9">
      <c r="B2" t="str">
        <f>VLOOKUP(B1,H2:I52,2)</f>
        <v>SC</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South Carolina</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1.0005744316415992</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1.0025358449973647</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1.0014278195561146</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0.99991472638235723</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0.99767872013994352</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1.0042650244519926</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1.0110163971820301</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1.0163986719200866</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1.0223679467788289</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1.0274950243196344</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1.0333101211618123</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1.0395562819906778</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1.0458599895587863</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1.0515581644442038</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1.0574568948314365</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1.0625033374234798</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1.0674217272825048</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1.0719907925676073</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1.0767870591580928</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1.0813520325683081</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1.0856338419818616</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1.0890894739663937</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1.092663446205645</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1.0959812206788866</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1.0997012452812605</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1.012318053450608</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1.0187490178786913</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1.0216811073777416</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1.0233739973602685</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1.0236598542929392</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1.03198167434788</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1.0399100105479395</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1.048329127522984</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1.0563061299568592</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1.06461978077556</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1.07217631736514</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1.0798753840064148</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1.0870873067526499</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1.0942868318332939</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1.1014422076314467</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1.107840285504293</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1.1141987390436563</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1.1202253305151226</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1.126134660642057</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1.1319329616968421</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1.1373375304416498</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1.1426252390441398</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1.1475187637407296</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1.152225478424747</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1.1568526445129326</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1.0256618041833572</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1.0385789306501645</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1.0407332387497259</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1.0475665420173914</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1.0583351875764895</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1.0781236861905161</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1.1023174822880963</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1.1285275282454956</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1.1572335942593246</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1.1886586168214031</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1.2133735022143308</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1.2383147204455029</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1.2631582821153597</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1.2871529068831409</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1.3117431949677201</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1.3350870110633819</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1.3596781632412751</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1.3857771816313325</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1.4119501540151187</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1.4384168534260366</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1.4639896255562002</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1.4876668572620184</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1.5116662060721102</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1.534686095867323</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1.5583479570088228</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1.0578439861707924</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1.0988517929813144</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1.1280674239224013</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1.1522463633930369</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1.1716496925120772</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1.1978386146396542</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1.2220426537262481</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1.2472412007959877</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1.2676022897511092</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1.2880413419243102</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1.304888397476571</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1.3226822401123695</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1.3392584131127305</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1.3531866085916202</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1.3675274379832643</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1.3803980568344802</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1.3933462329752742</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1.4047541991321379</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1.4170360766321297</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1.4300391850661553</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1.441403027043858</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1.4535564348871075</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1.4633417640903017</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1.4727164538517035</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1.4817893119106955</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0.99641765660224635</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0.98585040637844223</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0.96951585167574261</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0.95572420902680866</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0.94428823540544293</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0.94128270105613254</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0.94048837105693017</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0.94081355726839566</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0.94231654945450027</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0.94506816533306259</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0.94484346587175327</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0.94460869106350409</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0.94416258511638229</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0.94359753066438212</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0.94307772398600198</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0.94176486876120824</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0.94083595588536872</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0.9401644599103034</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0.93945241179261296</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0.93866635922966257</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0.93735667799648192</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0.93533153004659253</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0.93311105439755404</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0.93044993841356372</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0.92802047389472986</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1.0003400944790872</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1.0028293613744301</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1.0023846834969758</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1.0017240574159003</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1.0000496848649678</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1.0078666392834787</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1.0157490228087225</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1.0221362560526743</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1.0288802291387333</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1.0347281680777276</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1.0413784612937778</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1.048486127182878</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1.055574421508958</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1.0619410018929696</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1.0685443832540833</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1.0745904066283856</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1.0803709072101504</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1.0859175045707816</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1.0918154934771922</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1.0975829781927313</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1.1028727765989768</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1.1073970674419948</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1.1118622553281037</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1.1161577681766699</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1.1208706362272518</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0.99059185350933754</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0.98666876731292574</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0.98240497452645514</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0.97931315853062406</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0.98089658440791849</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0.99032153987803406</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1.001559929846306</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1.0115770254296823</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1.0235689652556597</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1.0363406873097469</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1.0495335232243261</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1.0640894044409028</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1.0799979311182422</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1.0963918441217204</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1.1134293321671658</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1.1295757041736103</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1.1451995057014934</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1.1582493764614568</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1.1710980340477488</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1.1854643129090428</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1.2004222689572426</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1.2162108431117848</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1.2307375418975584</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1.2461984404950872</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1.2609406812137314</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1.0051552310091274</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1.0144292318037018</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1.022735082386651</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1.0283920166313629</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1.0362844064293548</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1.049550024988106</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1.0637909102550052</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1.0759453732923987</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1.0894140549202789</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1.1028216422240118</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1.1154944721075675</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1.1275246722214027</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1.1385818278510109</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1.1491023235732345</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1.1598467369419669</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1.1703801676043504</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1.180410195509495</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1.1894191444811475</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1.1987926934488911</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1.2101831362126829</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1.2218530349559149</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1.2334795640725713</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1.2428830590465421</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1.2522385146973192</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1.2610160187119526</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1.0211362785114764</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1.0343436393970773</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1.0410318220513264</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1.0512501074337692</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1.0642447590426745</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1.0868386845998865</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1.112655095706387</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1.1401118323422204</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1.1695354619678473</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1.2010674614959103</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1.2283236615300508</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1.2559652318729269</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1.2837663875289593</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1.3112018273554158</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1.3392775939905792</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1.3666980916446265</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1.3951879951340678</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1.42493633240211</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1.4549604933550477</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1.4854112285625574</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1.5154691016005486</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1.5444278378052749</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1.5738436822870756</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1.6028082762931777</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1.6324811881039569</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0.97185176145596053</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0.99761877110509378</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0.97174526973122333</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0.95874140721771595</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0.95979491545363682</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0.93878486624061086</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0.94632963202265652</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0.95403718759904155</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0.95491041138638078</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0.96160700474870886</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0.96745641269768134</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0.97468831169069003</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0.97864027738331438</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0.98416196567686465</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0.98867749934601812</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0.99131486719983242</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0.99176725621011508</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0.9928408984498357</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0.99643424853656826</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0.99940290562658851</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1.0049733372502376</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1.0143853013712245</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1.0210937411398082</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1.0216616332030559</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1.0229020641111519</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0.98664064024995635</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1.0001075636548977</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1.0153953288118793</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1.0271978346535684</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1.0397467661935016</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1.06062551582971</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1.0836344158387077</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1.1070661397057175</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1.1313458189198702</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1.156769285436652</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1.178325670166523</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1.1966350512152262</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1.2150208690490887</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1.2322935384059648</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1.2497243628268642</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1.2668477997015097</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1.2851472621159099</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1.3031034136150639</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1.3209924792313192</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1.3403733676327261</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1.3600137273638593</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1.3799520193743928</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1.3991787372718969</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1.4181720460217795</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1.4387807683927445</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1.0005744316415992</v>
      </c>
      <c r="E2">
        <f>'BCDTRtSY-state-adjusted'!E5</f>
        <v>1.0025358449973647</v>
      </c>
      <c r="F2">
        <f>'BCDTRtSY-state-adjusted'!F5</f>
        <v>1.0014278195561146</v>
      </c>
      <c r="G2">
        <f>'BCDTRtSY-state-adjusted'!G5</f>
        <v>0.99991472638235723</v>
      </c>
      <c r="H2">
        <f>'BCDTRtSY-state-adjusted'!H5</f>
        <v>0.99767872013994352</v>
      </c>
      <c r="I2">
        <f>'BCDTRtSY-state-adjusted'!I5</f>
        <v>1.0042650244519926</v>
      </c>
      <c r="J2">
        <f>'BCDTRtSY-state-adjusted'!J5</f>
        <v>1.0110163971820301</v>
      </c>
      <c r="K2">
        <f>'BCDTRtSY-state-adjusted'!K5</f>
        <v>1.0163986719200866</v>
      </c>
      <c r="L2">
        <f>'BCDTRtSY-state-adjusted'!L5</f>
        <v>1.0223679467788289</v>
      </c>
      <c r="M2">
        <f>'BCDTRtSY-state-adjusted'!M5</f>
        <v>1.0274950243196344</v>
      </c>
      <c r="N2">
        <f>'BCDTRtSY-state-adjusted'!N5</f>
        <v>1.0333101211618123</v>
      </c>
      <c r="O2">
        <f>'BCDTRtSY-state-adjusted'!O5</f>
        <v>1.0395562819906778</v>
      </c>
      <c r="P2">
        <f>'BCDTRtSY-state-adjusted'!P5</f>
        <v>1.0458599895587863</v>
      </c>
      <c r="Q2">
        <f>'BCDTRtSY-state-adjusted'!Q5</f>
        <v>1.0515581644442038</v>
      </c>
      <c r="R2">
        <f>'BCDTRtSY-state-adjusted'!R5</f>
        <v>1.0574568948314365</v>
      </c>
      <c r="S2">
        <f>'BCDTRtSY-state-adjusted'!S5</f>
        <v>1.0625033374234798</v>
      </c>
      <c r="T2">
        <f>'BCDTRtSY-state-adjusted'!T5</f>
        <v>1.0674217272825048</v>
      </c>
      <c r="U2">
        <f>'BCDTRtSY-state-adjusted'!U5</f>
        <v>1.0719907925676073</v>
      </c>
      <c r="V2">
        <f>'BCDTRtSY-state-adjusted'!V5</f>
        <v>1.0767870591580928</v>
      </c>
      <c r="W2">
        <f>'BCDTRtSY-state-adjusted'!W5</f>
        <v>1.0813520325683081</v>
      </c>
      <c r="X2">
        <f>'BCDTRtSY-state-adjusted'!X5</f>
        <v>1.0856338419818616</v>
      </c>
      <c r="Y2">
        <f>'BCDTRtSY-state-adjusted'!Y5</f>
        <v>1.0890894739663937</v>
      </c>
      <c r="Z2">
        <f>'BCDTRtSY-state-adjusted'!Z5</f>
        <v>1.092663446205645</v>
      </c>
      <c r="AA2">
        <f>'BCDTRtSY-state-adjusted'!AA5</f>
        <v>1.0959812206788866</v>
      </c>
      <c r="AB2">
        <f>'BCDTRtSY-state-adjusted'!AB5</f>
        <v>1.0997012452812605</v>
      </c>
    </row>
    <row r="3" spans="1:28">
      <c r="A3" t="s">
        <v>118</v>
      </c>
      <c r="B3">
        <f>'BCDTRtSY-state-adjusted'!B6</f>
        <v>1</v>
      </c>
      <c r="C3">
        <f>'BCDTRtSY-state-adjusted'!C6</f>
        <v>1</v>
      </c>
      <c r="D3">
        <f>'BCDTRtSY-state-adjusted'!D6</f>
        <v>1.012318053450608</v>
      </c>
      <c r="E3">
        <f>'BCDTRtSY-state-adjusted'!E6</f>
        <v>1.0187490178786913</v>
      </c>
      <c r="F3">
        <f>'BCDTRtSY-state-adjusted'!F6</f>
        <v>1.0216811073777416</v>
      </c>
      <c r="G3">
        <f>'BCDTRtSY-state-adjusted'!G6</f>
        <v>1.0233739973602685</v>
      </c>
      <c r="H3">
        <f>'BCDTRtSY-state-adjusted'!H6</f>
        <v>1.0236598542929392</v>
      </c>
      <c r="I3">
        <f>'BCDTRtSY-state-adjusted'!I6</f>
        <v>1.03198167434788</v>
      </c>
      <c r="J3">
        <f>'BCDTRtSY-state-adjusted'!J6</f>
        <v>1.0399100105479395</v>
      </c>
      <c r="K3">
        <f>'BCDTRtSY-state-adjusted'!K6</f>
        <v>1.048329127522984</v>
      </c>
      <c r="L3">
        <f>'BCDTRtSY-state-adjusted'!L6</f>
        <v>1.0563061299568592</v>
      </c>
      <c r="M3">
        <f>'BCDTRtSY-state-adjusted'!M6</f>
        <v>1.06461978077556</v>
      </c>
      <c r="N3">
        <f>'BCDTRtSY-state-adjusted'!N6</f>
        <v>1.07217631736514</v>
      </c>
      <c r="O3">
        <f>'BCDTRtSY-state-adjusted'!O6</f>
        <v>1.0798753840064148</v>
      </c>
      <c r="P3">
        <f>'BCDTRtSY-state-adjusted'!P6</f>
        <v>1.0870873067526499</v>
      </c>
      <c r="Q3">
        <f>'BCDTRtSY-state-adjusted'!Q6</f>
        <v>1.0942868318332939</v>
      </c>
      <c r="R3">
        <f>'BCDTRtSY-state-adjusted'!R6</f>
        <v>1.1014422076314467</v>
      </c>
      <c r="S3">
        <f>'BCDTRtSY-state-adjusted'!S6</f>
        <v>1.107840285504293</v>
      </c>
      <c r="T3">
        <f>'BCDTRtSY-state-adjusted'!T6</f>
        <v>1.1141987390436563</v>
      </c>
      <c r="U3">
        <f>'BCDTRtSY-state-adjusted'!U6</f>
        <v>1.1202253305151226</v>
      </c>
      <c r="V3">
        <f>'BCDTRtSY-state-adjusted'!V6</f>
        <v>1.126134660642057</v>
      </c>
      <c r="W3">
        <f>'BCDTRtSY-state-adjusted'!W6</f>
        <v>1.1319329616968421</v>
      </c>
      <c r="X3">
        <f>'BCDTRtSY-state-adjusted'!X6</f>
        <v>1.1373375304416498</v>
      </c>
      <c r="Y3">
        <f>'BCDTRtSY-state-adjusted'!Y6</f>
        <v>1.1426252390441398</v>
      </c>
      <c r="Z3">
        <f>'BCDTRtSY-state-adjusted'!Z6</f>
        <v>1.1475187637407296</v>
      </c>
      <c r="AA3">
        <f>'BCDTRtSY-state-adjusted'!AA6</f>
        <v>1.152225478424747</v>
      </c>
      <c r="AB3">
        <f>'BCDTRtSY-state-adjusted'!AB6</f>
        <v>1.1568526445129326</v>
      </c>
    </row>
    <row r="4" spans="1:28">
      <c r="A4" t="s">
        <v>116</v>
      </c>
      <c r="B4">
        <f>'BCDTRtSY-state-adjusted'!B7</f>
        <v>1</v>
      </c>
      <c r="C4">
        <f>'BCDTRtSY-state-adjusted'!C7</f>
        <v>1</v>
      </c>
      <c r="D4">
        <f>'BCDTRtSY-state-adjusted'!D7</f>
        <v>1.0256618041833572</v>
      </c>
      <c r="E4">
        <f>'BCDTRtSY-state-adjusted'!E7</f>
        <v>1.0385789306501645</v>
      </c>
      <c r="F4">
        <f>'BCDTRtSY-state-adjusted'!F7</f>
        <v>1.0407332387497259</v>
      </c>
      <c r="G4">
        <f>'BCDTRtSY-state-adjusted'!G7</f>
        <v>1.0475665420173914</v>
      </c>
      <c r="H4">
        <f>'BCDTRtSY-state-adjusted'!H7</f>
        <v>1.0583351875764895</v>
      </c>
      <c r="I4">
        <f>'BCDTRtSY-state-adjusted'!I7</f>
        <v>1.0781236861905161</v>
      </c>
      <c r="J4">
        <f>'BCDTRtSY-state-adjusted'!J7</f>
        <v>1.1023174822880963</v>
      </c>
      <c r="K4">
        <f>'BCDTRtSY-state-adjusted'!K7</f>
        <v>1.1285275282454956</v>
      </c>
      <c r="L4">
        <f>'BCDTRtSY-state-adjusted'!L7</f>
        <v>1.1572335942593246</v>
      </c>
      <c r="M4">
        <f>'BCDTRtSY-state-adjusted'!M7</f>
        <v>1.1886586168214031</v>
      </c>
      <c r="N4">
        <f>'BCDTRtSY-state-adjusted'!N7</f>
        <v>1.2133735022143308</v>
      </c>
      <c r="O4">
        <f>'BCDTRtSY-state-adjusted'!O7</f>
        <v>1.2383147204455029</v>
      </c>
      <c r="P4">
        <f>'BCDTRtSY-state-adjusted'!P7</f>
        <v>1.2631582821153597</v>
      </c>
      <c r="Q4">
        <f>'BCDTRtSY-state-adjusted'!Q7</f>
        <v>1.2871529068831409</v>
      </c>
      <c r="R4">
        <f>'BCDTRtSY-state-adjusted'!R7</f>
        <v>1.3117431949677201</v>
      </c>
      <c r="S4">
        <f>'BCDTRtSY-state-adjusted'!S7</f>
        <v>1.3350870110633819</v>
      </c>
      <c r="T4">
        <f>'BCDTRtSY-state-adjusted'!T7</f>
        <v>1.3596781632412751</v>
      </c>
      <c r="U4">
        <f>'BCDTRtSY-state-adjusted'!U7</f>
        <v>1.3857771816313325</v>
      </c>
      <c r="V4">
        <f>'BCDTRtSY-state-adjusted'!V7</f>
        <v>1.4119501540151187</v>
      </c>
      <c r="W4">
        <f>'BCDTRtSY-state-adjusted'!W7</f>
        <v>1.4384168534260366</v>
      </c>
      <c r="X4">
        <f>'BCDTRtSY-state-adjusted'!X7</f>
        <v>1.4639896255562002</v>
      </c>
      <c r="Y4">
        <f>'BCDTRtSY-state-adjusted'!Y7</f>
        <v>1.4876668572620184</v>
      </c>
      <c r="Z4">
        <f>'BCDTRtSY-state-adjusted'!Z7</f>
        <v>1.5116662060721102</v>
      </c>
      <c r="AA4">
        <f>'BCDTRtSY-state-adjusted'!AA7</f>
        <v>1.534686095867323</v>
      </c>
      <c r="AB4">
        <f>'BCDTRtSY-state-adjusted'!AB7</f>
        <v>1.5583479570088228</v>
      </c>
    </row>
    <row r="5" spans="1:28">
      <c r="A5" t="s">
        <v>121</v>
      </c>
      <c r="B5">
        <f>'BCDTRtSY-state-adjusted'!B8</f>
        <v>1</v>
      </c>
      <c r="C5">
        <f>'BCDTRtSY-state-adjusted'!C8</f>
        <v>1</v>
      </c>
      <c r="D5">
        <f>'BCDTRtSY-state-adjusted'!D8</f>
        <v>1.0578439861707924</v>
      </c>
      <c r="E5">
        <f>'BCDTRtSY-state-adjusted'!E8</f>
        <v>1.0988517929813144</v>
      </c>
      <c r="F5">
        <f>'BCDTRtSY-state-adjusted'!F8</f>
        <v>1.1280674239224013</v>
      </c>
      <c r="G5">
        <f>'BCDTRtSY-state-adjusted'!G8</f>
        <v>1.1522463633930369</v>
      </c>
      <c r="H5">
        <f>'BCDTRtSY-state-adjusted'!H8</f>
        <v>1.1716496925120772</v>
      </c>
      <c r="I5">
        <f>'BCDTRtSY-state-adjusted'!I8</f>
        <v>1.1978386146396542</v>
      </c>
      <c r="J5">
        <f>'BCDTRtSY-state-adjusted'!J8</f>
        <v>1.2220426537262481</v>
      </c>
      <c r="K5">
        <f>'BCDTRtSY-state-adjusted'!K8</f>
        <v>1.2472412007959877</v>
      </c>
      <c r="L5">
        <f>'BCDTRtSY-state-adjusted'!L8</f>
        <v>1.2676022897511092</v>
      </c>
      <c r="M5">
        <f>'BCDTRtSY-state-adjusted'!M8</f>
        <v>1.2880413419243102</v>
      </c>
      <c r="N5">
        <f>'BCDTRtSY-state-adjusted'!N8</f>
        <v>1.304888397476571</v>
      </c>
      <c r="O5">
        <f>'BCDTRtSY-state-adjusted'!O8</f>
        <v>1.3226822401123695</v>
      </c>
      <c r="P5">
        <f>'BCDTRtSY-state-adjusted'!P8</f>
        <v>1.3392584131127305</v>
      </c>
      <c r="Q5">
        <f>'BCDTRtSY-state-adjusted'!Q8</f>
        <v>1.3531866085916202</v>
      </c>
      <c r="R5">
        <f>'BCDTRtSY-state-adjusted'!R8</f>
        <v>1.3675274379832643</v>
      </c>
      <c r="S5">
        <f>'BCDTRtSY-state-adjusted'!S8</f>
        <v>1.3803980568344802</v>
      </c>
      <c r="T5">
        <f>'BCDTRtSY-state-adjusted'!T8</f>
        <v>1.3933462329752742</v>
      </c>
      <c r="U5">
        <f>'BCDTRtSY-state-adjusted'!U8</f>
        <v>1.4047541991321379</v>
      </c>
      <c r="V5">
        <f>'BCDTRtSY-state-adjusted'!V8</f>
        <v>1.4170360766321297</v>
      </c>
      <c r="W5">
        <f>'BCDTRtSY-state-adjusted'!W8</f>
        <v>1.4300391850661553</v>
      </c>
      <c r="X5">
        <f>'BCDTRtSY-state-adjusted'!X8</f>
        <v>1.441403027043858</v>
      </c>
      <c r="Y5">
        <f>'BCDTRtSY-state-adjusted'!Y8</f>
        <v>1.4535564348871075</v>
      </c>
      <c r="Z5">
        <f>'BCDTRtSY-state-adjusted'!Z8</f>
        <v>1.4633417640903017</v>
      </c>
      <c r="AA5">
        <f>'BCDTRtSY-state-adjusted'!AA8</f>
        <v>1.4727164538517035</v>
      </c>
      <c r="AB5">
        <f>'BCDTRtSY-state-adjusted'!AB8</f>
        <v>1.4817893119106955</v>
      </c>
    </row>
    <row r="6" spans="1:28">
      <c r="A6" t="s">
        <v>122</v>
      </c>
      <c r="B6">
        <f>'BCDTRtSY-state-adjusted'!B9</f>
        <v>1</v>
      </c>
      <c r="C6">
        <f>'BCDTRtSY-state-adjusted'!C9</f>
        <v>1</v>
      </c>
      <c r="D6">
        <f>'BCDTRtSY-state-adjusted'!D9</f>
        <v>0.99641765660224635</v>
      </c>
      <c r="E6">
        <f>'BCDTRtSY-state-adjusted'!E9</f>
        <v>0.98585040637844223</v>
      </c>
      <c r="F6">
        <f>'BCDTRtSY-state-adjusted'!F9</f>
        <v>0.96951585167574261</v>
      </c>
      <c r="G6">
        <f>'BCDTRtSY-state-adjusted'!G9</f>
        <v>0.95572420902680866</v>
      </c>
      <c r="H6">
        <f>'BCDTRtSY-state-adjusted'!H9</f>
        <v>0.94428823540544293</v>
      </c>
      <c r="I6">
        <f>'BCDTRtSY-state-adjusted'!I9</f>
        <v>0.94128270105613254</v>
      </c>
      <c r="J6">
        <f>'BCDTRtSY-state-adjusted'!J9</f>
        <v>0.94048837105693017</v>
      </c>
      <c r="K6">
        <f>'BCDTRtSY-state-adjusted'!K9</f>
        <v>0.94081355726839566</v>
      </c>
      <c r="L6">
        <f>'BCDTRtSY-state-adjusted'!L9</f>
        <v>0.94231654945450027</v>
      </c>
      <c r="M6">
        <f>'BCDTRtSY-state-adjusted'!M9</f>
        <v>0.94506816533306259</v>
      </c>
      <c r="N6">
        <f>'BCDTRtSY-state-adjusted'!N9</f>
        <v>0.94484346587175327</v>
      </c>
      <c r="O6">
        <f>'BCDTRtSY-state-adjusted'!O9</f>
        <v>0.94460869106350409</v>
      </c>
      <c r="P6">
        <f>'BCDTRtSY-state-adjusted'!P9</f>
        <v>0.94416258511638229</v>
      </c>
      <c r="Q6">
        <f>'BCDTRtSY-state-adjusted'!Q9</f>
        <v>0.94359753066438212</v>
      </c>
      <c r="R6">
        <f>'BCDTRtSY-state-adjusted'!R9</f>
        <v>0.94307772398600198</v>
      </c>
      <c r="S6">
        <f>'BCDTRtSY-state-adjusted'!S9</f>
        <v>0.94176486876120824</v>
      </c>
      <c r="T6">
        <f>'BCDTRtSY-state-adjusted'!T9</f>
        <v>0.94083595588536872</v>
      </c>
      <c r="U6">
        <f>'BCDTRtSY-state-adjusted'!U9</f>
        <v>0.9401644599103034</v>
      </c>
      <c r="V6">
        <f>'BCDTRtSY-state-adjusted'!V9</f>
        <v>0.93945241179261296</v>
      </c>
      <c r="W6">
        <f>'BCDTRtSY-state-adjusted'!W9</f>
        <v>0.93866635922966257</v>
      </c>
      <c r="X6">
        <f>'BCDTRtSY-state-adjusted'!X9</f>
        <v>0.93735667799648192</v>
      </c>
      <c r="Y6">
        <f>'BCDTRtSY-state-adjusted'!Y9</f>
        <v>0.93533153004659253</v>
      </c>
      <c r="Z6">
        <f>'BCDTRtSY-state-adjusted'!Z9</f>
        <v>0.93311105439755404</v>
      </c>
      <c r="AA6">
        <f>'BCDTRtSY-state-adjusted'!AA9</f>
        <v>0.93044993841356372</v>
      </c>
      <c r="AB6">
        <f>'BCDTRtSY-state-adjusted'!AB9</f>
        <v>0.92802047389472986</v>
      </c>
    </row>
    <row r="7" spans="1:28">
      <c r="A7" t="s">
        <v>123</v>
      </c>
      <c r="B7">
        <f>'BCDTRtSY-state-adjusted'!B10</f>
        <v>1</v>
      </c>
      <c r="C7">
        <f>'BCDTRtSY-state-adjusted'!C10</f>
        <v>1</v>
      </c>
      <c r="D7">
        <f>'BCDTRtSY-state-adjusted'!D10</f>
        <v>1.0003400944790872</v>
      </c>
      <c r="E7">
        <f>'BCDTRtSY-state-adjusted'!E10</f>
        <v>1.0028293613744301</v>
      </c>
      <c r="F7">
        <f>'BCDTRtSY-state-adjusted'!F10</f>
        <v>1.0023846834969758</v>
      </c>
      <c r="G7">
        <f>'BCDTRtSY-state-adjusted'!G10</f>
        <v>1.0017240574159003</v>
      </c>
      <c r="H7">
        <f>'BCDTRtSY-state-adjusted'!H10</f>
        <v>1.0000496848649678</v>
      </c>
      <c r="I7">
        <f>'BCDTRtSY-state-adjusted'!I10</f>
        <v>1.0078666392834787</v>
      </c>
      <c r="J7">
        <f>'BCDTRtSY-state-adjusted'!J10</f>
        <v>1.0157490228087225</v>
      </c>
      <c r="K7">
        <f>'BCDTRtSY-state-adjusted'!K10</f>
        <v>1.0221362560526743</v>
      </c>
      <c r="L7">
        <f>'BCDTRtSY-state-adjusted'!L10</f>
        <v>1.0288802291387333</v>
      </c>
      <c r="M7">
        <f>'BCDTRtSY-state-adjusted'!M10</f>
        <v>1.0347281680777276</v>
      </c>
      <c r="N7">
        <f>'BCDTRtSY-state-adjusted'!N10</f>
        <v>1.0413784612937778</v>
      </c>
      <c r="O7">
        <f>'BCDTRtSY-state-adjusted'!O10</f>
        <v>1.048486127182878</v>
      </c>
      <c r="P7">
        <f>'BCDTRtSY-state-adjusted'!P10</f>
        <v>1.055574421508958</v>
      </c>
      <c r="Q7">
        <f>'BCDTRtSY-state-adjusted'!Q10</f>
        <v>1.0619410018929696</v>
      </c>
      <c r="R7">
        <f>'BCDTRtSY-state-adjusted'!R10</f>
        <v>1.0685443832540833</v>
      </c>
      <c r="S7">
        <f>'BCDTRtSY-state-adjusted'!S10</f>
        <v>1.0745904066283856</v>
      </c>
      <c r="T7">
        <f>'BCDTRtSY-state-adjusted'!T10</f>
        <v>1.0803709072101504</v>
      </c>
      <c r="U7">
        <f>'BCDTRtSY-state-adjusted'!U10</f>
        <v>1.0859175045707816</v>
      </c>
      <c r="V7">
        <f>'BCDTRtSY-state-adjusted'!V10</f>
        <v>1.0918154934771922</v>
      </c>
      <c r="W7">
        <f>'BCDTRtSY-state-adjusted'!W10</f>
        <v>1.0975829781927313</v>
      </c>
      <c r="X7">
        <f>'BCDTRtSY-state-adjusted'!X10</f>
        <v>1.1028727765989768</v>
      </c>
      <c r="Y7">
        <f>'BCDTRtSY-state-adjusted'!Y10</f>
        <v>1.1073970674419948</v>
      </c>
      <c r="Z7">
        <f>'BCDTRtSY-state-adjusted'!Z10</f>
        <v>1.1118622553281037</v>
      </c>
      <c r="AA7">
        <f>'BCDTRtSY-state-adjusted'!AA10</f>
        <v>1.1161577681766699</v>
      </c>
      <c r="AB7">
        <f>'BCDTRtSY-state-adjusted'!AB10</f>
        <v>1.1208706362272518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0.99059185350933754</v>
      </c>
      <c r="E2">
        <f>'BCDTRtSY-state-adjusted'!E13</f>
        <v>0.98666876731292574</v>
      </c>
      <c r="F2">
        <f>'BCDTRtSY-state-adjusted'!F13</f>
        <v>0.98240497452645514</v>
      </c>
      <c r="G2">
        <f>'BCDTRtSY-state-adjusted'!G13</f>
        <v>0.97931315853062406</v>
      </c>
      <c r="H2">
        <f>'BCDTRtSY-state-adjusted'!H13</f>
        <v>0.98089658440791849</v>
      </c>
      <c r="I2">
        <f>'BCDTRtSY-state-adjusted'!I13</f>
        <v>0.99032153987803406</v>
      </c>
      <c r="J2">
        <f>'BCDTRtSY-state-adjusted'!J13</f>
        <v>1.001559929846306</v>
      </c>
      <c r="K2">
        <f>'BCDTRtSY-state-adjusted'!K13</f>
        <v>1.0115770254296823</v>
      </c>
      <c r="L2">
        <f>'BCDTRtSY-state-adjusted'!L13</f>
        <v>1.0235689652556597</v>
      </c>
      <c r="M2">
        <f>'BCDTRtSY-state-adjusted'!M13</f>
        <v>1.0363406873097469</v>
      </c>
      <c r="N2">
        <f>'BCDTRtSY-state-adjusted'!N13</f>
        <v>1.0495335232243261</v>
      </c>
      <c r="O2">
        <f>'BCDTRtSY-state-adjusted'!O13</f>
        <v>1.0640894044409028</v>
      </c>
      <c r="P2">
        <f>'BCDTRtSY-state-adjusted'!P13</f>
        <v>1.0799979311182422</v>
      </c>
      <c r="Q2">
        <f>'BCDTRtSY-state-adjusted'!Q13</f>
        <v>1.0963918441217204</v>
      </c>
      <c r="R2">
        <f>'BCDTRtSY-state-adjusted'!R13</f>
        <v>1.1134293321671658</v>
      </c>
      <c r="S2">
        <f>'BCDTRtSY-state-adjusted'!S13</f>
        <v>1.1295757041736103</v>
      </c>
      <c r="T2">
        <f>'BCDTRtSY-state-adjusted'!T13</f>
        <v>1.1451995057014934</v>
      </c>
      <c r="U2">
        <f>'BCDTRtSY-state-adjusted'!U13</f>
        <v>1.1582493764614568</v>
      </c>
      <c r="V2">
        <f>'BCDTRtSY-state-adjusted'!V13</f>
        <v>1.1710980340477488</v>
      </c>
      <c r="W2">
        <f>'BCDTRtSY-state-adjusted'!W13</f>
        <v>1.1854643129090428</v>
      </c>
      <c r="X2">
        <f>'BCDTRtSY-state-adjusted'!X13</f>
        <v>1.2004222689572426</v>
      </c>
      <c r="Y2">
        <f>'BCDTRtSY-state-adjusted'!Y13</f>
        <v>1.2162108431117848</v>
      </c>
      <c r="Z2">
        <f>'BCDTRtSY-state-adjusted'!Z13</f>
        <v>1.2307375418975584</v>
      </c>
      <c r="AA2">
        <f>'BCDTRtSY-state-adjusted'!AA13</f>
        <v>1.2461984404950872</v>
      </c>
      <c r="AB2">
        <f>'BCDTRtSY-state-adjusted'!AB13</f>
        <v>1.2609406812137314</v>
      </c>
    </row>
    <row r="3" spans="1:28">
      <c r="A3" t="s">
        <v>118</v>
      </c>
      <c r="B3">
        <f>'BCDTRtSY-state-adjusted'!B14</f>
        <v>1</v>
      </c>
      <c r="C3">
        <f>'BCDTRtSY-state-adjusted'!C14</f>
        <v>1</v>
      </c>
      <c r="D3">
        <f>'BCDTRtSY-state-adjusted'!D14</f>
        <v>1.0051552310091274</v>
      </c>
      <c r="E3">
        <f>'BCDTRtSY-state-adjusted'!E14</f>
        <v>1.0144292318037018</v>
      </c>
      <c r="F3">
        <f>'BCDTRtSY-state-adjusted'!F14</f>
        <v>1.022735082386651</v>
      </c>
      <c r="G3">
        <f>'BCDTRtSY-state-adjusted'!G14</f>
        <v>1.0283920166313629</v>
      </c>
      <c r="H3">
        <f>'BCDTRtSY-state-adjusted'!H14</f>
        <v>1.0362844064293548</v>
      </c>
      <c r="I3">
        <f>'BCDTRtSY-state-adjusted'!I14</f>
        <v>1.049550024988106</v>
      </c>
      <c r="J3">
        <f>'BCDTRtSY-state-adjusted'!J14</f>
        <v>1.0637909102550052</v>
      </c>
      <c r="K3">
        <f>'BCDTRtSY-state-adjusted'!K14</f>
        <v>1.0759453732923987</v>
      </c>
      <c r="L3">
        <f>'BCDTRtSY-state-adjusted'!L14</f>
        <v>1.0894140549202789</v>
      </c>
      <c r="M3">
        <f>'BCDTRtSY-state-adjusted'!M14</f>
        <v>1.1028216422240118</v>
      </c>
      <c r="N3">
        <f>'BCDTRtSY-state-adjusted'!N14</f>
        <v>1.1154944721075675</v>
      </c>
      <c r="O3">
        <f>'BCDTRtSY-state-adjusted'!O14</f>
        <v>1.1275246722214027</v>
      </c>
      <c r="P3">
        <f>'BCDTRtSY-state-adjusted'!P14</f>
        <v>1.1385818278510109</v>
      </c>
      <c r="Q3">
        <f>'BCDTRtSY-state-adjusted'!Q14</f>
        <v>1.1491023235732345</v>
      </c>
      <c r="R3">
        <f>'BCDTRtSY-state-adjusted'!R14</f>
        <v>1.1598467369419669</v>
      </c>
      <c r="S3">
        <f>'BCDTRtSY-state-adjusted'!S14</f>
        <v>1.1703801676043504</v>
      </c>
      <c r="T3">
        <f>'BCDTRtSY-state-adjusted'!T14</f>
        <v>1.180410195509495</v>
      </c>
      <c r="U3">
        <f>'BCDTRtSY-state-adjusted'!U14</f>
        <v>1.1894191444811475</v>
      </c>
      <c r="V3">
        <f>'BCDTRtSY-state-adjusted'!V14</f>
        <v>1.1987926934488911</v>
      </c>
      <c r="W3">
        <f>'BCDTRtSY-state-adjusted'!W14</f>
        <v>1.2101831362126829</v>
      </c>
      <c r="X3">
        <f>'BCDTRtSY-state-adjusted'!X14</f>
        <v>1.2218530349559149</v>
      </c>
      <c r="Y3">
        <f>'BCDTRtSY-state-adjusted'!Y14</f>
        <v>1.2334795640725713</v>
      </c>
      <c r="Z3">
        <f>'BCDTRtSY-state-adjusted'!Z14</f>
        <v>1.2428830590465421</v>
      </c>
      <c r="AA3">
        <f>'BCDTRtSY-state-adjusted'!AA14</f>
        <v>1.2522385146973192</v>
      </c>
      <c r="AB3">
        <f>'BCDTRtSY-state-adjusted'!AB14</f>
        <v>1.2610160187119526</v>
      </c>
    </row>
    <row r="4" spans="1:28">
      <c r="A4" t="s">
        <v>116</v>
      </c>
      <c r="B4">
        <f>'BCDTRtSY-state-adjusted'!B15</f>
        <v>1</v>
      </c>
      <c r="C4">
        <f>'BCDTRtSY-state-adjusted'!C15</f>
        <v>1</v>
      </c>
      <c r="D4">
        <f>'BCDTRtSY-state-adjusted'!D15</f>
        <v>1.0211362785114764</v>
      </c>
      <c r="E4">
        <f>'BCDTRtSY-state-adjusted'!E15</f>
        <v>1.0343436393970773</v>
      </c>
      <c r="F4">
        <f>'BCDTRtSY-state-adjusted'!F15</f>
        <v>1.0410318220513264</v>
      </c>
      <c r="G4">
        <f>'BCDTRtSY-state-adjusted'!G15</f>
        <v>1.0512501074337692</v>
      </c>
      <c r="H4">
        <f>'BCDTRtSY-state-adjusted'!H15</f>
        <v>1.0642447590426745</v>
      </c>
      <c r="I4">
        <f>'BCDTRtSY-state-adjusted'!I15</f>
        <v>1.0868386845998865</v>
      </c>
      <c r="J4">
        <f>'BCDTRtSY-state-adjusted'!J15</f>
        <v>1.112655095706387</v>
      </c>
      <c r="K4">
        <f>'BCDTRtSY-state-adjusted'!K15</f>
        <v>1.1401118323422204</v>
      </c>
      <c r="L4">
        <f>'BCDTRtSY-state-adjusted'!L15</f>
        <v>1.1695354619678473</v>
      </c>
      <c r="M4">
        <f>'BCDTRtSY-state-adjusted'!M15</f>
        <v>1.2010674614959103</v>
      </c>
      <c r="N4">
        <f>'BCDTRtSY-state-adjusted'!N15</f>
        <v>1.2283236615300508</v>
      </c>
      <c r="O4">
        <f>'BCDTRtSY-state-adjusted'!O15</f>
        <v>1.2559652318729269</v>
      </c>
      <c r="P4">
        <f>'BCDTRtSY-state-adjusted'!P15</f>
        <v>1.2837663875289593</v>
      </c>
      <c r="Q4">
        <f>'BCDTRtSY-state-adjusted'!Q15</f>
        <v>1.3112018273554158</v>
      </c>
      <c r="R4">
        <f>'BCDTRtSY-state-adjusted'!R15</f>
        <v>1.3392775939905792</v>
      </c>
      <c r="S4">
        <f>'BCDTRtSY-state-adjusted'!S15</f>
        <v>1.3666980916446265</v>
      </c>
      <c r="T4">
        <f>'BCDTRtSY-state-adjusted'!T15</f>
        <v>1.3951879951340678</v>
      </c>
      <c r="U4">
        <f>'BCDTRtSY-state-adjusted'!U15</f>
        <v>1.42493633240211</v>
      </c>
      <c r="V4">
        <f>'BCDTRtSY-state-adjusted'!V15</f>
        <v>1.4549604933550477</v>
      </c>
      <c r="W4">
        <f>'BCDTRtSY-state-adjusted'!W15</f>
        <v>1.4854112285625574</v>
      </c>
      <c r="X4">
        <f>'BCDTRtSY-state-adjusted'!X15</f>
        <v>1.5154691016005486</v>
      </c>
      <c r="Y4">
        <f>'BCDTRtSY-state-adjusted'!Y15</f>
        <v>1.5444278378052749</v>
      </c>
      <c r="Z4">
        <f>'BCDTRtSY-state-adjusted'!Z15</f>
        <v>1.5738436822870756</v>
      </c>
      <c r="AA4">
        <f>'BCDTRtSY-state-adjusted'!AA15</f>
        <v>1.6028082762931777</v>
      </c>
      <c r="AB4">
        <f>'BCDTRtSY-state-adjusted'!AB15</f>
        <v>1.6324811881039569</v>
      </c>
    </row>
    <row r="5" spans="1:28">
      <c r="A5" t="s">
        <v>121</v>
      </c>
      <c r="B5">
        <f>'BCDTRtSY-state-adjusted'!B16</f>
        <v>1</v>
      </c>
      <c r="C5">
        <f>'BCDTRtSY-state-adjusted'!C16</f>
        <v>1</v>
      </c>
      <c r="D5">
        <f>'BCDTRtSY-state-adjusted'!D16</f>
        <v>0.97185176145596053</v>
      </c>
      <c r="E5">
        <f>'BCDTRtSY-state-adjusted'!E16</f>
        <v>0.99761877110509378</v>
      </c>
      <c r="F5">
        <f>'BCDTRtSY-state-adjusted'!F16</f>
        <v>0.97174526973122333</v>
      </c>
      <c r="G5">
        <f>'BCDTRtSY-state-adjusted'!G16</f>
        <v>0.95874140721771595</v>
      </c>
      <c r="H5">
        <f>'BCDTRtSY-state-adjusted'!H16</f>
        <v>0.95979491545363682</v>
      </c>
      <c r="I5">
        <f>'BCDTRtSY-state-adjusted'!I16</f>
        <v>0.93878486624061086</v>
      </c>
      <c r="J5">
        <f>'BCDTRtSY-state-adjusted'!J16</f>
        <v>0.94632963202265652</v>
      </c>
      <c r="K5">
        <f>'BCDTRtSY-state-adjusted'!K16</f>
        <v>0.95403718759904155</v>
      </c>
      <c r="L5">
        <f>'BCDTRtSY-state-adjusted'!L16</f>
        <v>0.95491041138638078</v>
      </c>
      <c r="M5">
        <f>'BCDTRtSY-state-adjusted'!M16</f>
        <v>0.96160700474870886</v>
      </c>
      <c r="N5">
        <f>'BCDTRtSY-state-adjusted'!N16</f>
        <v>0.96745641269768134</v>
      </c>
      <c r="O5">
        <f>'BCDTRtSY-state-adjusted'!O16</f>
        <v>0.97468831169069003</v>
      </c>
      <c r="P5">
        <f>'BCDTRtSY-state-adjusted'!P16</f>
        <v>0.97864027738331438</v>
      </c>
      <c r="Q5">
        <f>'BCDTRtSY-state-adjusted'!Q16</f>
        <v>0.98416196567686465</v>
      </c>
      <c r="R5">
        <f>'BCDTRtSY-state-adjusted'!R16</f>
        <v>0.98867749934601812</v>
      </c>
      <c r="S5">
        <f>'BCDTRtSY-state-adjusted'!S16</f>
        <v>0.99131486719983242</v>
      </c>
      <c r="T5">
        <f>'BCDTRtSY-state-adjusted'!T16</f>
        <v>0.99176725621011508</v>
      </c>
      <c r="U5">
        <f>'BCDTRtSY-state-adjusted'!U16</f>
        <v>0.9928408984498357</v>
      </c>
      <c r="V5">
        <f>'BCDTRtSY-state-adjusted'!V16</f>
        <v>0.99643424853656826</v>
      </c>
      <c r="W5">
        <f>'BCDTRtSY-state-adjusted'!W16</f>
        <v>0.99940290562658851</v>
      </c>
      <c r="X5">
        <f>'BCDTRtSY-state-adjusted'!X16</f>
        <v>1.0049733372502376</v>
      </c>
      <c r="Y5">
        <f>'BCDTRtSY-state-adjusted'!Y16</f>
        <v>1.0143853013712245</v>
      </c>
      <c r="Z5">
        <f>'BCDTRtSY-state-adjusted'!Z16</f>
        <v>1.0210937411398082</v>
      </c>
      <c r="AA5">
        <f>'BCDTRtSY-state-adjusted'!AA16</f>
        <v>1.0216616332030559</v>
      </c>
      <c r="AB5">
        <f>'BCDTRtSY-state-adjusted'!AB16</f>
        <v>1.0229020641111519</v>
      </c>
    </row>
    <row r="6" spans="1:28">
      <c r="A6" t="s">
        <v>122</v>
      </c>
      <c r="B6">
        <f>'BCDTRtSY-state-adjusted'!B17</f>
        <v>1</v>
      </c>
      <c r="C6">
        <f>'BCDTRtSY-state-adjusted'!C17</f>
        <v>1</v>
      </c>
      <c r="D6">
        <f>'BCDTRtSY-state-adjusted'!D17</f>
        <v>0.98664064024995635</v>
      </c>
      <c r="E6">
        <f>'BCDTRtSY-state-adjusted'!E17</f>
        <v>1.0001075636548977</v>
      </c>
      <c r="F6">
        <f>'BCDTRtSY-state-adjusted'!F17</f>
        <v>1.0153953288118793</v>
      </c>
      <c r="G6">
        <f>'BCDTRtSY-state-adjusted'!G17</f>
        <v>1.0271978346535684</v>
      </c>
      <c r="H6">
        <f>'BCDTRtSY-state-adjusted'!H17</f>
        <v>1.0397467661935016</v>
      </c>
      <c r="I6">
        <f>'BCDTRtSY-state-adjusted'!I17</f>
        <v>1.06062551582971</v>
      </c>
      <c r="J6">
        <f>'BCDTRtSY-state-adjusted'!J17</f>
        <v>1.0836344158387077</v>
      </c>
      <c r="K6">
        <f>'BCDTRtSY-state-adjusted'!K17</f>
        <v>1.1070661397057175</v>
      </c>
      <c r="L6">
        <f>'BCDTRtSY-state-adjusted'!L17</f>
        <v>1.1313458189198702</v>
      </c>
      <c r="M6">
        <f>'BCDTRtSY-state-adjusted'!M17</f>
        <v>1.156769285436652</v>
      </c>
      <c r="N6">
        <f>'BCDTRtSY-state-adjusted'!N17</f>
        <v>1.178325670166523</v>
      </c>
      <c r="O6">
        <f>'BCDTRtSY-state-adjusted'!O17</f>
        <v>1.1966350512152262</v>
      </c>
      <c r="P6">
        <f>'BCDTRtSY-state-adjusted'!P17</f>
        <v>1.2150208690490887</v>
      </c>
      <c r="Q6">
        <f>'BCDTRtSY-state-adjusted'!Q17</f>
        <v>1.2322935384059648</v>
      </c>
      <c r="R6">
        <f>'BCDTRtSY-state-adjusted'!R17</f>
        <v>1.2497243628268642</v>
      </c>
      <c r="S6">
        <f>'BCDTRtSY-state-adjusted'!S17</f>
        <v>1.2668477997015097</v>
      </c>
      <c r="T6">
        <f>'BCDTRtSY-state-adjusted'!T17</f>
        <v>1.2851472621159099</v>
      </c>
      <c r="U6">
        <f>'BCDTRtSY-state-adjusted'!U17</f>
        <v>1.3031034136150639</v>
      </c>
      <c r="V6">
        <f>'BCDTRtSY-state-adjusted'!V17</f>
        <v>1.3209924792313192</v>
      </c>
      <c r="W6">
        <f>'BCDTRtSY-state-adjusted'!W17</f>
        <v>1.3403733676327261</v>
      </c>
      <c r="X6">
        <f>'BCDTRtSY-state-adjusted'!X17</f>
        <v>1.3600137273638593</v>
      </c>
      <c r="Y6">
        <f>'BCDTRtSY-state-adjusted'!Y17</f>
        <v>1.3799520193743928</v>
      </c>
      <c r="Z6">
        <f>'BCDTRtSY-state-adjusted'!Z17</f>
        <v>1.3991787372718969</v>
      </c>
      <c r="AA6">
        <f>'BCDTRtSY-state-adjusted'!AA17</f>
        <v>1.4181720460217795</v>
      </c>
      <c r="AB6">
        <f>'BCDTRtSY-state-adjusted'!AB17</f>
        <v>1.4387807683927445</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2026-08-14T21:49:32Z</dcterms:modified>
</cp:coreProperties>
</file>