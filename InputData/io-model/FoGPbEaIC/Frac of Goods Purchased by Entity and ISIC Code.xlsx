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purchases_by_BEA" sheetId="3" state="visible" r:id="rId3"/>
    <sheet name="2_HH_purchases_by_BEA" sheetId="4" state="visible" r:id="rId4"/>
    <sheet name="3_Intl_purchases_by_BEA" sheetId="5" state="visible" r:id="rId5"/>
    <sheet name="4_DomInd_purchases_by_BEA" sheetId="6" state="visible" r:id="rId6"/>
    <sheet name="5_Total_purchases_by_BEA" sheetId="7" state="visible" r:id="rId7"/>
    <sheet name="1_Entity_totals" sheetId="8" state="visible" r:id="rId8"/>
    <sheet name="2_Row_tot_by_ISIC" sheetId="9" state="visible" r:id="rId9"/>
    <sheet name="Src_Stateior_SoI_TotUse" sheetId="10" state="visible" r:id="rId10"/>
    <sheet name="Src_Disagg_EIA_coal" sheetId="11" state="visible" r:id="rId11"/>
    <sheet name="Src_Disagg_heuristics" sheetId="12" state="visible" r:id="rId12"/>
    <sheet name="Crosswalk_BEA_to_ISIC" sheetId="13" state="visible" r:id="rId13"/>
    <sheet name="State_disagg_splits" sheetId="14" state="visible" r:id="rId14"/>
    <sheet name="NAICS_to_ISIC_Key" sheetId="15" state="visible" r:id="rId15"/>
    <sheet name="6_Calc_Gov_ISIC" sheetId="16" state="visible" r:id="rId16"/>
    <sheet name="7_Calc_HH_ISIC" sheetId="17" state="visible" r:id="rId17"/>
    <sheet name="8_Calc_Intl_ISIC" sheetId="18" state="visible" r:id="rId18"/>
    <sheet name="9_Calc_Total_ISIC" sheetId="19" state="visible" r:id="rId19"/>
    <sheet name="10_Calc_Entity_fractions" sheetId="20" state="visible" r:id="rId20"/>
    <sheet name="FoGPbEaIC-entity" sheetId="21" state="visible" r:id="rId21"/>
    <sheet name="FoGPbEaIC-isic" sheetId="22" state="visible" r:id="rId22"/>
  </sheets>
  <calcPr calcId="191029" fullCalcOnLoad="1"/>
</workbook>
</file>

<file path=xl/sharedStrings.xml><?xml version="1.0" encoding="utf-8"?>
<sst xmlns="http://schemas.openxmlformats.org/spreadsheetml/2006/main" count="664" uniqueCount="664">
  <si>
    <t xml:space="preserve">FoGPbEaIC - Fraction of Goods Purchased by Entity and ISIC Code</t>
  </si>
  <si>
    <t xml:space="preserve"/>
  </si>
  <si>
    <t xml:space="preserve">State: South Carolina (SC)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</si>
  <si>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</si>
  <si>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</si>
  <si>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</si>
  <si>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Two outputs, both at 25-Industry-Category resolution (the subset of</t>
  </si>
  <si>
    <t xml:space="preserve">42 ISIC codes that represent tradeable goods + utilities + construction):</t>
  </si>
  <si>
    <t xml:space="preserve">FoGPbEaIC-entity (25 rows x 4 entity cols):</t>
  </si>
  <si>
    <t xml:space="preserve">  For each source ISIC, fraction of its output purchased by each of</t>
  </si>
  <si>
    <t xml:space="preserve">  {government, domestic industries, labor and consumers, foreign</t>
  </si>
  <si>
    <t xml:space="preserve">  entities}. Rows sum to 1.0 by construction.</t>
  </si>
  <si>
    <t xml:space="preserve">FoGPbEaIC-isic (25 rows x 42 ISIC cols):</t>
  </si>
  <si>
    <t xml:space="preserve">  For each source ISIC, fraction of its output consumed by each of</t>
  </si>
  <si>
    <t xml:space="preserve">  the 42 consumer ISIC industries.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</si>
  <si>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</si>
  <si>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</si>
  <si>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</si>
  <si>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</si>
  <si>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</si>
  <si>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</si>
  <si>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</si>
  <si>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</si>
  <si>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</si>
  <si>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</si>
  <si>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</si>
  <si>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</si>
  <si>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</si>
  <si>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</si>
  <si>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</si>
  <si>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</si>
  <si>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</si>
  <si>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</si>
  <si>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</si>
  <si>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</si>
  <si>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</si>
  <si>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</si>
  <si>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</si>
  <si>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</si>
  <si>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</si>
  <si>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</si>
  <si>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</si>
  <si>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</si>
  <si>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</si>
  <si>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</si>
  <si>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</si>
  <si>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</si>
  <si>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</si>
  <si>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</si>
  <si>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</si>
  <si>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</si>
  <si>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</si>
  <si>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</si>
  <si>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</si>
  <si>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</si>
  <si>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</si>
  <si>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</si>
  <si>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</si>
  <si>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</si>
  <si>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</si>
  <si>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</si>
  <si>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</si>
  <si>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</si>
  <si>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</si>
  <si>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</si>
  <si>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</si>
  <si>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FoGPbEaIC-entity is FORMULA-DERIVED from the per-BEA purchase-component</t>
  </si>
  <si>
    <t xml:space="preserve">tabs: each component is crosswalk-aggregated to ISIC, fractions are</t>
  </si>
  <si>
    <t xml:space="preserve">component / MAX(total, Keys floor), and 'domestic industries' is the</t>
  </si>
  <si>
    <t xml:space="preserve">clamped residual so each row sums to 1.</t>
  </si>
  <si>
    <t xml:space="preserve">Note: the component tabs (1-4) are pipeline VALUES - they row-sum the</t>
  </si>
  <si>
    <t xml:space="preserve">TWO-REGION Use table (SoI + RoUS final-demand columns), which is not</t>
  </si>
  <si>
    <t xml:space="preserve">fully embedded (Src tab holds the SoI block only; context/provenance).</t>
  </si>
  <si>
    <t xml:space="preserve">FoGPbEaIC-isic stays a pipeline value: it needs a 2-D (row AND column)</t>
  </si>
  <si>
    <t xml:space="preserve">BEA-&gt;ISIC aggregation of the Use block, out of scope for in-sheet</t>
  </si>
  <si>
    <t xml:space="preserve">formulas.</t>
  </si>
  <si>
    <t xml:space="preserve">Tabs:</t>
  </si>
  <si>
    <t xml:space="preserve">  - About / Keys</t>
  </si>
  <si>
    <t xml:space="preserve">  - 1-4_*_purchases_by_BEA - gov / household / intl / domestic-industry</t>
  </si>
  <si>
    <t xml:space="preserve">    purchases per BEA commodity (pipeline values)</t>
  </si>
  <si>
    <t xml:space="preserve">  - 5_Total_purchases_by_BEA = 1+2+3+4 (formulas)</t>
  </si>
  <si>
    <t xml:space="preserve">  - 1_Entity_totals / 2_Row_tot_by_ISIC (context)</t>
  </si>
  <si>
    <t xml:space="preserve">  - Src_Stateior_SoI_TotUse / coal / heuristics (context)</t>
  </si>
  <si>
    <t xml:space="preserve">  - Crosswalk / splits / NAICS key</t>
  </si>
  <si>
    <t xml:space="preserve">  - 6-9_Calc_*_ISIC - crosswalk-aggregate each component to ISIC</t>
  </si>
  <si>
    <t xml:space="preserve">  - 10_Calc_Entity_fractions - floor, ratio, residual clamp (25 categories)</t>
  </si>
  <si>
    <t xml:space="preserve">  - FoGPbEaIC-entity (formulas; matches FoGPbEaIC-entity.csv)</t>
  </si>
  <si>
    <t xml:space="preserve">  - FoGPbEaIC-isic (values; matches FoGPbEaIC-isic.csv)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</si>
  <si>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</si>
  <si>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</si>
  <si>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</si>
  <si>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</si>
  <si>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</si>
  <si>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</si>
  <si>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</si>
  <si>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</si>
  <si>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</si>
  <si>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</si>
  <si>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</si>
  <si>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</si>
  <si>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</si>
  <si>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</si>
  <si>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</si>
  <si>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</si>
  <si>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gov_purchases_USD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</si>
  <si>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</si>
  <si>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</si>
  <si>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</si>
  <si>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</si>
  <si>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</si>
  <si>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</si>
  <si>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</si>
  <si>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</si>
  <si>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</si>
  <si>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</si>
  <si>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</si>
  <si>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</si>
  <si>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</si>
  <si>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</si>
  <si>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</si>
  <si>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</si>
  <si>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</si>
  <si>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</si>
  <si>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</si>
  <si>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</si>
  <si>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</si>
  <si>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</si>
  <si>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</si>
  <si>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</si>
  <si>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</si>
  <si>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</si>
  <si>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</si>
  <si>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</si>
  <si>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</si>
  <si>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</si>
  <si>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</si>
  <si>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</si>
  <si>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</si>
  <si>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</si>
  <si>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</si>
  <si>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</si>
  <si>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</si>
  <si>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</si>
  <si>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</si>
  <si>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</si>
  <si>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</si>
  <si>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</si>
  <si>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</si>
  <si>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</si>
  <si>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</si>
  <si>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</si>
  <si>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</si>
  <si>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</si>
  <si>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</si>
  <si>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</si>
  <si>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</si>
  <si>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</si>
  <si>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</si>
  <si>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</si>
  <si>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</si>
  <si>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</si>
  <si>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</si>
  <si>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</si>
  <si>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</si>
  <si>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</si>
  <si>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</si>
  <si>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</si>
  <si>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</si>
  <si>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</si>
  <si>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</si>
  <si>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</si>
  <si>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</si>
  <si>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</si>
  <si>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</si>
  <si>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</si>
  <si>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</si>
  <si>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</si>
  <si>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</si>
  <si>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hh_purchases_USD</t>
  </si>
  <si>
    <t xml:space="preserve">intl_purchases_USD (F040)</t>
  </si>
  <si>
    <t xml:space="preserve">domestic_industry_purchases_USD</t>
  </si>
  <si>
    <t xml:space="preserve">total_purchases_USD (= gov+hh+intl+domInd)</t>
  </si>
  <si>
    <t xml:space="preserve">Entity</t>
  </si>
  <si>
    <t xml:space="preserve">SoI_total_USD</t>
  </si>
  <si>
    <t xml:space="preserve">Government</t>
  </si>
  <si>
    <t xml:space="preserve">Households</t>
  </si>
  <si>
    <t xml:space="preserve">Intl Exports</t>
  </si>
  <si>
    <t xml:space="preserve">Domestic Industries</t>
  </si>
  <si>
    <t xml:space="preserve">ISIC_code</t>
  </si>
  <si>
    <t xml:space="preserve">total_consumption_USD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</si>
  <si>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</si>
  <si>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</si>
  <si>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</si>
  <si>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</si>
  <si>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</si>
  <si>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</si>
  <si>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</si>
  <si>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</si>
  <si>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</si>
  <si>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</si>
  <si>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</si>
  <si>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</si>
  <si>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</si>
  <si>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</si>
  <si>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</si>
  <si>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</si>
  <si>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</si>
  <si>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</si>
  <si>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</si>
  <si>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</si>
  <si>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</si>
  <si>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</si>
  <si>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</si>
  <si>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</si>
  <si>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</si>
  <si>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</si>
  <si>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</si>
  <si>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</si>
  <si>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</si>
  <si>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</si>
  <si>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</si>
  <si>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</si>
  <si>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</si>
  <si>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</si>
  <si>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</si>
  <si>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</si>
  <si>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</si>
  <si>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</si>
  <si>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</si>
  <si>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</si>
  <si>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</si>
  <si>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</si>
  <si>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</si>
  <si>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</si>
  <si>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</si>
  <si>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</si>
  <si>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</si>
  <si>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</si>
  <si>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</si>
  <si>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</si>
  <si>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</si>
  <si>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</si>
  <si>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</si>
  <si>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</si>
  <si>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</si>
  <si>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</si>
  <si>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</si>
  <si>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</si>
  <si>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</si>
  <si>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</si>
  <si>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</si>
  <si>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</si>
  <si>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</si>
  <si>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</si>
  <si>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</si>
  <si>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</si>
  <si>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</si>
  <si>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</si>
  <si>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</si>
  <si>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</si>
  <si>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SC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</si>
  <si>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</si>
  <si>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</si>
  <si>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</si>
  <si>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</si>
  <si>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</si>
  <si>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</si>
  <si>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</si>
  <si>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</si>
  <si>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</si>
  <si>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</si>
  <si>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</si>
  <si>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</si>
  <si>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</si>
  <si>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</si>
  <si>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</si>
  <si>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</si>
  <si>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</si>
  <si>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</si>
  <si>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</si>
  <si>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</si>
  <si>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</si>
  <si>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</si>
  <si>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</si>
  <si>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</si>
  <si>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</si>
  <si>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</si>
  <si>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</si>
  <si>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</si>
  <si>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</si>
  <si>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</si>
  <si>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</si>
  <si>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</si>
  <si>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</si>
  <si>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</si>
  <si>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</si>
  <si>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</si>
  <si>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</si>
  <si>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</si>
  <si>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</si>
  <si>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</si>
  <si>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</si>
  <si>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</si>
  <si>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</si>
  <si>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</si>
  <si>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</si>
  <si>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</si>
  <si>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</si>
  <si>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</si>
  <si>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</si>
  <si>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</si>
  <si>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</si>
  <si>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</si>
  <si>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</si>
  <si>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</si>
  <si>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</si>
  <si>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</si>
  <si>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</si>
  <si>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</si>
  <si>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</si>
  <si>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</si>
  <si>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</si>
  <si>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</si>
  <si>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</si>
  <si>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</si>
  <si>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</si>
  <si>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</si>
  <si>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</si>
  <si>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</si>
  <si>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</si>
  <si>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</si>
  <si>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</si>
  <si>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</si>
  <si>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</si>
  <si>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</si>
  <si>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</si>
  <si>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</si>
  <si>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</si>
  <si>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</si>
  <si>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</si>
  <si>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</si>
  <si>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</si>
  <si>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</si>
  <si>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</si>
  <si>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</si>
  <si>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</si>
  <si>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</si>
  <si>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</si>
  <si>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</si>
  <si>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</si>
  <si>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</si>
  <si>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</si>
  <si>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</si>
  <si>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</si>
  <si>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</si>
  <si>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</si>
  <si>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</si>
  <si>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</si>
  <si>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</si>
  <si>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SC.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</si>
  <si>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</si>
  <si>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</si>
  <si>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</si>
  <si>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</si>
  <si>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</si>
  <si>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</si>
  <si>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</si>
  <si>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</si>
  <si>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</si>
  <si>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</si>
  <si>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Agriculture, forestry, fishing</t>
  </si>
  <si>
    <t xml:space="preserve">Forestry, fishing, related</t>
  </si>
  <si>
    <t xml:space="preserve">Oil and gas extraction</t>
  </si>
  <si>
    <t xml:space="preserve">Extraction of crude petroleum and natural gas</t>
  </si>
  <si>
    <t xml:space="preserve">Support activities for mining</t>
  </si>
  <si>
    <t xml:space="preserve">Mining support service activities</t>
  </si>
  <si>
    <t xml:space="preserve">Utilities</t>
  </si>
  <si>
    <t xml:space="preserve">Electricity</t>
  </si>
  <si>
    <t xml:space="preserve">BEA 2012 Detail: electric ~72% of 22 output</t>
  </si>
  <si>
    <t xml:space="preserve">Gas, steam, AC</t>
  </si>
  <si>
    <t xml:space="preserve">BEA Detail: gas distribution ~20%</t>
  </si>
  <si>
    <t xml:space="preserve">Water, sewerage, waste</t>
  </si>
  <si>
    <t xml:space="preserve">BEA Detail: water/sewage ~8%</t>
  </si>
  <si>
    <t xml:space="preserve">Construction</t>
  </si>
  <si>
    <t xml:space="preserve">Food, beverage, tobacco</t>
  </si>
  <si>
    <t xml:space="preserve">Food, beverages, tobacco</t>
  </si>
  <si>
    <t xml:space="preserve">Textile mills and textile product mills</t>
  </si>
  <si>
    <t xml:space="preserve">Textiles, apparel, leather</t>
  </si>
  <si>
    <t xml:space="preserve">Apparel and leather</t>
  </si>
  <si>
    <t xml:space="preserve">Wood products</t>
  </si>
  <si>
    <t xml:space="preserve">Wood and products of wood and cork</t>
  </si>
  <si>
    <t xml:space="preserve">Paper products</t>
  </si>
  <si>
    <t xml:space="preserve">Paper products and printing</t>
  </si>
  <si>
    <t xml:space="preserve">Printing and related</t>
  </si>
  <si>
    <t xml:space="preserve">Petroleum and coal products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</si>
  <si>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</si>
  <si>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</si>
  <si>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</si>
  <si>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</si>
  <si>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</si>
  <si>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</si>
  <si>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</si>
  <si>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Machinery</t>
  </si>
  <si>
    <t xml:space="preserve">Machinery and equipment n.e.c.</t>
  </si>
  <si>
    <t xml:space="preserve">Computer and electronic products</t>
  </si>
  <si>
    <t xml:space="preserve">Computer, electronic and optical products</t>
  </si>
  <si>
    <t xml:space="preserve">Electrical equipment, appliances</t>
  </si>
  <si>
    <t xml:space="preserve">Electrical equipment</t>
  </si>
  <si>
    <t xml:space="preserve">Motor vehicles, bodies, trailers, parts</t>
  </si>
  <si>
    <t xml:space="preserve">Motor vehicles, trailers, semi-trailers</t>
  </si>
  <si>
    <t xml:space="preserve">Other transportation equipment</t>
  </si>
  <si>
    <t xml:space="preserve">Other transport equipment</t>
  </si>
  <si>
    <t xml:space="preserve">Furniture and related products</t>
  </si>
  <si>
    <t xml:space="preserve">Furniture; other manufacturing; repair</t>
  </si>
  <si>
    <t xml:space="preserve">Miscellaneous manufacturing</t>
  </si>
  <si>
    <t xml:space="preserve">Wholesale trade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</si>
  <si>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</si>
  <si>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</si>
  <si>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</si>
  <si>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</si>
  <si>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</si>
  <si>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</si>
  <si>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</si>
  <si>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</si>
  <si>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</si>
  <si>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</si>
  <si>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</si>
  <si>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</si>
  <si>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</si>
  <si>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</si>
  <si>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</si>
  <si>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</si>
  <si>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</si>
  <si>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</si>
  <si>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</si>
  <si>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</si>
  <si>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</si>
  <si>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</si>
  <si>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</si>
  <si>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IT and other information services</t>
  </si>
  <si>
    <t xml:space="preserve">Federal Reserve banks, credit intermediation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</si>
  <si>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</si>
  <si>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</si>
  <si>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</si>
  <si>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</si>
  <si>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</si>
  <si>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Real estate activities</t>
  </si>
  <si>
    <t xml:space="preserve">Other real estate</t>
  </si>
  <si>
    <t xml:space="preserve">Rental and leasing (excl real estate)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</si>
  <si>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</si>
  <si>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</si>
  <si>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</si>
  <si>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</si>
  <si>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</si>
  <si>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</si>
  <si>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</si>
  <si>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</si>
  <si>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</si>
  <si>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</si>
  <si>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</si>
  <si>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Education</t>
  </si>
  <si>
    <t xml:space="preserve">Ambulatory health care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</si>
  <si>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</si>
  <si>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</si>
  <si>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</si>
  <si>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</si>
  <si>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</si>
  <si>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Arts, entertainment and other services</t>
  </si>
  <si>
    <t xml:space="preserve">Amusements, gambling, recreation</t>
  </si>
  <si>
    <t xml:space="preserve">Accommodation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</si>
  <si>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</si>
  <si>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</si>
  <si>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</si>
  <si>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</si>
  <si>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</si>
  <si>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</si>
  <si>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</si>
  <si>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</si>
  <si>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</si>
  <si>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</si>
  <si>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Mining of coal and lignite</t>
  </si>
  <si>
    <t xml:space="preserve">coal/(coal+nonfuel) mine-value share, 2012 USD: EIA coal 2019 $0M + USGS T3 nonfuel 2021 $1165M [nonfuel partial total] -&gt; coal share 0.000 (applied to stateior 212 $1033M)</t>
  </si>
  <si>
    <t xml:space="preserve">Other mining and quarrying</t>
  </si>
  <si>
    <t xml:space="preserve">Nonmetallic minerals</t>
  </si>
  <si>
    <t xml:space="preserve">Glass</t>
  </si>
  <si>
    <t xml:space="preserve">HEURISTIC (GHGRP Subpart H cement state list + glass industry profile; Census ASM suppressed or missing)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</si>
  <si>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</si>
  <si>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</si>
  <si>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</si>
  <si>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Aluminum, nonferrous, foundries</t>
  </si>
  <si>
    <t xml:space="preserve">Chemicals</t>
  </si>
  <si>
    <t xml:space="preserve">Chemicals and chemical products</t>
  </si>
  <si>
    <t xml:space="preserve">HEURISTIC (Census ASM suppressed or unpulled)</t>
  </si>
  <si>
    <t xml:space="preserve">Pharmaceuticals</t>
  </si>
  <si>
    <t xml:space="preserve">State-specific disaggregation ratios applied for SC.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</si>
  <si>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</si>
  <si>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</si>
  <si>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</si>
  <si>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</si>
  <si>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</si>
  <si>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</si>
  <si>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</si>
  <si>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</si>
  <si>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</si>
  <si>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</si>
  <si>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</si>
  <si>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</si>
  <si>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</si>
  <si>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</si>
  <si>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</si>
  <si>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</si>
  <si>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</si>
  <si>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</si>
  <si>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</si>
  <si>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</si>
  <si>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</si>
  <si>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</si>
  <si>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</si>
  <si>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</si>
  <si>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</si>
  <si>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</si>
  <si>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</si>
  <si>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</si>
  <si>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</si>
  <si>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</si>
  <si>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</si>
  <si>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</si>
  <si>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</si>
  <si>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</si>
  <si>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</si>
  <si>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</si>
  <si>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</si>
  <si>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</si>
  <si>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</si>
  <si>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</si>
  <si>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</si>
  <si>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</si>
  <si>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</si>
  <si>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</si>
  <si>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</si>
  <si>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</si>
  <si>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</si>
  <si>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</si>
  <si>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</si>
  <si>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</si>
  <si>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</si>
  <si>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</si>
  <si>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</si>
  <si>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</si>
  <si>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</si>
  <si>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</si>
  <si>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</si>
  <si>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</si>
  <si>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</si>
  <si>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</si>
  <si>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</si>
  <si>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</si>
  <si>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</si>
  <si>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</si>
  <si>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</si>
  <si>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</si>
  <si>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</si>
  <si>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</si>
  <si>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</si>
  <si>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</si>
  <si>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</si>
  <si>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</si>
  <si>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</si>
  <si>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</si>
  <si>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</si>
  <si>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</si>
  <si>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</si>
  <si>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</si>
  <si>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</si>
  <si>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</si>
  <si>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</si>
  <si>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</si>
  <si>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</si>
  <si>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</si>
  <si>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</si>
  <si>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</si>
  <si>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</si>
  <si>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Entity fractions per Industry Category: component / MAX(total, Keys fogp floor); domestic industries = MAX(0, 1 - gov - hh - intl) so rows sum to 1</t>
  </si>
  <si>
    <t xml:space="preserve">gov_ISIC</t>
  </si>
  <si>
    <t xml:space="preserve">hh_ISIC</t>
  </si>
  <si>
    <t xml:space="preserve">intl_ISIC</t>
  </si>
  <si>
    <t xml:space="preserve">total_ISIC</t>
  </si>
  <si>
    <t xml:space="preserve">denom (floored)</t>
  </si>
  <si>
    <t xml:space="preserve">gov_frac</t>
  </si>
  <si>
    <t xml:space="preserve">hh_frac (labor and consumers)</t>
  </si>
  <si>
    <t xml:space="preserve">intl_frac (foreign entities)</t>
  </si>
  <si>
    <t xml:space="preserve">domind_frac (residual)</t>
  </si>
  <si>
    <t xml:space="preserve">label</t>
  </si>
  <si>
    <t xml:space="preserve">government</t>
  </si>
  <si>
    <t xml:space="preserve">domestic industries</t>
  </si>
  <si>
    <t xml:space="preserve">labor and consumers</t>
  </si>
  <si>
    <t xml:space="preserve">foreign entities</t>
  </si>
  <si>
    <t xml:space="preserve">agriculture and forestry 01T03</t>
  </si>
  <si>
    <t xml:space="preserve">coal mining 05</t>
  </si>
  <si>
    <t xml:space="preserve">oil and gas extraction 06</t>
  </si>
  <si>
    <t xml:space="preserve">other mining and quarrying 07T08</t>
  </si>
  <si>
    <t xml:space="preserve">food beverage and tobacco 10T12</t>
  </si>
  <si>
    <t xml:space="preserve">textiles apparel and leather 13T15</t>
  </si>
  <si>
    <t xml:space="preserve">wood products 16</t>
  </si>
  <si>
    <t xml:space="preserve">pulp paper and printing 17T18</t>
  </si>
  <si>
    <t xml:space="preserve">refined petroleum and coke 19</t>
  </si>
  <si>
    <t xml:space="preserve">chemicals 20</t>
  </si>
  <si>
    <t xml:space="preserve">rubber and plastic products 22</t>
  </si>
  <si>
    <t xml:space="preserve">glass and glass products 231</t>
  </si>
  <si>
    <t xml:space="preserve">cement and other nonmetallic minerals 239</t>
  </si>
  <si>
    <t xml:space="preserve">iron and steel 241</t>
  </si>
  <si>
    <t xml:space="preserve">other metals 242</t>
  </si>
  <si>
    <t xml:space="preserve">metal products except machinery and vehicles 25</t>
  </si>
  <si>
    <t xml:space="preserve">computers and electronics 26</t>
  </si>
  <si>
    <t xml:space="preserve">appliances and electrical equipment 27</t>
  </si>
  <si>
    <t xml:space="preserve">other machinery 28</t>
  </si>
  <si>
    <t xml:space="preserve">road vehicles 29</t>
  </si>
  <si>
    <t xml:space="preserve">nonroad vehicles 30</t>
  </si>
  <si>
    <t xml:space="preserve">other manufacturing 31T33</t>
  </si>
  <si>
    <t xml:space="preserve">energy pipelines and gas processing 352T353</t>
  </si>
  <si>
    <t xml:space="preserve">water and waste 36T39</t>
  </si>
  <si>
    <t xml:space="preserve">construction 41T43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</si>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</sst>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</v>
      </c>
    </row>
    <row r="21">
      <c r="A21" t="s">
        <v>4</v>
      </c>
    </row>
    <row r="22">
      <c r="A22" t="s">
        <v>15</v>
      </c>
    </row>
    <row r="23">
      <c r="A23" t="s">
        <v>4</v>
      </c>
    </row>
    <row r="24">
      <c r="A24" t="s">
        <v>16</v>
      </c>
    </row>
    <row r="25">
      <c r="A25" t="s">
        <v>17</v>
      </c>
    </row>
    <row r="26">
      <c r="A26" t="s">
        <v>1</v>
      </c>
    </row>
    <row r="27">
      <c r="A27" t="s">
        <v>18</v>
      </c>
    </row>
    <row r="28">
      <c r="A28" t="s">
        <v>19</v>
      </c>
    </row>
    <row r="29">
      <c r="A29" t="s">
        <v>20</v>
      </c>
    </row>
    <row r="30">
      <c r="A30" t="s">
        <v>21</v>
      </c>
    </row>
    <row r="31">
      <c r="A31" t="s">
        <v>22</v>
      </c>
    </row>
    <row r="32">
      <c r="A32" t="s">
        <v>23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29</v>
      </c>
    </row>
    <row r="40">
      <c r="A40" t="s">
        <v>30</v>
      </c>
    </row>
    <row r="41">
      <c r="A41" t="s">
        <v>1</v>
      </c>
    </row>
    <row r="42">
      <c r="A42" t="s">
        <v>4</v>
      </c>
    </row>
    <row r="43">
      <c r="A43" t="s">
        <v>31</v>
      </c>
    </row>
    <row r="44">
      <c r="A44" t="s">
        <v>4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59</v>
      </c>
    </row>
    <row r="82">
      <c r="A82" t="s">
        <v>60</v>
      </c>
    </row>
    <row r="83">
      <c r="A83" t="s">
        <v>61</v>
      </c>
    </row>
    <row r="84">
      <c r="A84" t="s">
        <v>1</v>
      </c>
    </row>
    <row r="85">
      <c r="A85" t="s">
        <v>62</v>
      </c>
    </row>
    <row r="86">
      <c r="A86" t="s">
        <v>63</v>
      </c>
    </row>
    <row r="87">
      <c r="A87" t="s">
        <v>64</v>
      </c>
    </row>
    <row r="88">
      <c r="A88" t="s">
        <v>1</v>
      </c>
    </row>
    <row r="89">
      <c r="A89" t="s">
        <v>4</v>
      </c>
    </row>
    <row r="90">
      <c r="A90" t="s">
        <v>65</v>
      </c>
    </row>
    <row r="91">
      <c r="A91" t="s">
        <v>4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1</v>
      </c>
    </row>
    <row r="97">
      <c r="A97" t="s">
        <v>70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1</v>
      </c>
    </row>
    <row r="104">
      <c r="A104" t="s">
        <v>76</v>
      </c>
    </row>
    <row r="105">
      <c r="A105" t="s">
        <v>77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81</v>
      </c>
    </row>
    <row r="110">
      <c r="A110" t="s">
        <v>82</v>
      </c>
    </row>
    <row r="111">
      <c r="A111" t="s">
        <v>83</v>
      </c>
    </row>
    <row r="112">
      <c r="A112" t="s">
        <v>84</v>
      </c>
    </row>
    <row r="113">
      <c r="A113" t="s">
        <v>85</v>
      </c>
    </row>
    <row r="114">
      <c r="A114" t="s">
        <v>86</v>
      </c>
    </row>
    <row r="115">
      <c r="A1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88</v>
      </c>
      <c r="B1" t="s">
        <v>89</v>
      </c>
      <c r="C1" t="s">
        <v>90</v>
      </c>
      <c r="D1" t="s">
        <v>91</v>
      </c>
    </row>
    <row r="2">
      <c r="A2" t="s">
        <v>92</v>
      </c>
      <c r="B2" t="s">
        <v>93</v>
      </c>
      <c r="C2" t="n">
        <v>1.12266</v>
      </c>
      <c r="D2" t="s">
        <v>94</v>
      </c>
    </row>
    <row r="3">
      <c r="A3" t="s">
        <v>95</v>
      </c>
      <c r="B3" t="s">
        <v>96</v>
      </c>
      <c r="C3" t="n">
        <v>2019</v>
      </c>
      <c r="D3" t="s">
        <v>97</v>
      </c>
    </row>
    <row r="4">
      <c r="A4" t="s">
        <v>98</v>
      </c>
      <c r="B4" t="s">
        <v>99</v>
      </c>
      <c r="C4" t="n">
        <v>0.000000001</v>
      </c>
      <c r="D4" t="s">
        <v>100</v>
      </c>
    </row>
    <row r="5">
      <c r="A5" t="s">
        <v>98</v>
      </c>
      <c r="B5" t="s">
        <v>101</v>
      </c>
      <c r="C5" t="n">
        <v>1</v>
      </c>
      <c r="D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104</v>
      </c>
    </row>
    <row r="2">
      <c r="A2" t="s">
        <v>105</v>
      </c>
      <c r="B2" t="n">
        <v>0</v>
      </c>
    </row>
    <row r="3">
      <c r="A3" t="s">
        <v>106</v>
      </c>
      <c r="B3" t="n">
        <v>0</v>
      </c>
    </row>
    <row r="4">
      <c r="A4" t="s">
        <v>107</v>
      </c>
      <c r="B4" t="n">
        <v>0</v>
      </c>
    </row>
    <row r="5">
      <c r="A5" t="s">
        <v>108</v>
      </c>
      <c r="B5" t="n">
        <v>0</v>
      </c>
    </row>
    <row r="6">
      <c r="A6" t="s">
        <v>109</v>
      </c>
      <c r="B6" t="n">
        <v>0</v>
      </c>
    </row>
    <row r="7">
      <c r="A7" t="s">
        <v>110</v>
      </c>
      <c r="B7" t="n">
        <v>0</v>
      </c>
    </row>
    <row r="8">
      <c r="A8" t="s">
        <v>111</v>
      </c>
      <c r="B8" t="n">
        <v>4839642386.39856</v>
      </c>
    </row>
    <row r="9">
      <c r="A9" t="s">
        <v>112</v>
      </c>
      <c r="B9" t="n">
        <v>639292.653206379</v>
      </c>
    </row>
    <row r="10">
      <c r="A10" t="s">
        <v>113</v>
      </c>
      <c r="B10" t="n">
        <v>0</v>
      </c>
    </row>
    <row r="11">
      <c r="A11" t="s">
        <v>114</v>
      </c>
      <c r="B11" t="n">
        <v>0</v>
      </c>
    </row>
    <row r="12">
      <c r="A12" t="s">
        <v>115</v>
      </c>
      <c r="B12" t="n">
        <v>15048312.6242862</v>
      </c>
    </row>
    <row r="13">
      <c r="A13" t="s">
        <v>116</v>
      </c>
      <c r="B13" t="n">
        <v>232004768.539124</v>
      </c>
    </row>
    <row r="14">
      <c r="A14" t="s">
        <v>117</v>
      </c>
      <c r="B14" t="n">
        <v>178973106.586558</v>
      </c>
    </row>
    <row r="15">
      <c r="A15" t="s">
        <v>118</v>
      </c>
      <c r="B15" t="n">
        <v>46694273.2242919</v>
      </c>
    </row>
    <row r="16">
      <c r="A16" t="s">
        <v>119</v>
      </c>
      <c r="B16" t="n">
        <v>503492201.089023</v>
      </c>
    </row>
    <row r="17">
      <c r="A17" t="s">
        <v>120</v>
      </c>
      <c r="B17" t="n">
        <v>407845880.342247</v>
      </c>
    </row>
    <row r="18">
      <c r="A18" t="s">
        <v>121</v>
      </c>
      <c r="B18" t="n">
        <v>24982350.9228705</v>
      </c>
    </row>
    <row r="19">
      <c r="A19" t="s">
        <v>122</v>
      </c>
      <c r="B19" t="n">
        <v>15284858.1899388</v>
      </c>
    </row>
    <row r="20">
      <c r="A20" t="s">
        <v>123</v>
      </c>
      <c r="B20" t="n">
        <v>0</v>
      </c>
    </row>
    <row r="21">
      <c r="A21" t="s">
        <v>124</v>
      </c>
      <c r="B21" t="n">
        <v>1528866.25966287</v>
      </c>
    </row>
    <row r="22">
      <c r="A22" t="s">
        <v>125</v>
      </c>
      <c r="B22" t="n">
        <v>0</v>
      </c>
    </row>
    <row r="23">
      <c r="A23" t="s">
        <v>126</v>
      </c>
      <c r="B23" t="n">
        <v>0</v>
      </c>
    </row>
    <row r="24">
      <c r="A24" t="s">
        <v>127</v>
      </c>
      <c r="B24" t="n">
        <v>0</v>
      </c>
    </row>
    <row r="25">
      <c r="A25" t="s">
        <v>128</v>
      </c>
      <c r="B25" t="n">
        <v>0</v>
      </c>
    </row>
    <row r="26">
      <c r="A26" t="s">
        <v>129</v>
      </c>
      <c r="B26" t="n">
        <v>0</v>
      </c>
    </row>
    <row r="27">
      <c r="A27" t="s">
        <v>130</v>
      </c>
      <c r="B27" t="n">
        <v>880631.892044366</v>
      </c>
    </row>
    <row r="28">
      <c r="A28" t="s">
        <v>131</v>
      </c>
      <c r="B28" t="n">
        <v>413399326.813802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117885.179867328</v>
      </c>
    </row>
    <row r="34">
      <c r="A34" t="s">
        <v>137</v>
      </c>
      <c r="B34" t="n">
        <v>7628510.60704548</v>
      </c>
    </row>
    <row r="35">
      <c r="A35" t="s">
        <v>138</v>
      </c>
      <c r="B35" t="n">
        <v>22777.7196870858</v>
      </c>
    </row>
    <row r="36">
      <c r="A36" t="s">
        <v>139</v>
      </c>
      <c r="B36" t="n">
        <v>35746058.3460393</v>
      </c>
    </row>
    <row r="37">
      <c r="A37" t="s">
        <v>140</v>
      </c>
      <c r="B37" t="n">
        <v>0</v>
      </c>
    </row>
    <row r="38">
      <c r="A38" t="s">
        <v>141</v>
      </c>
      <c r="B38" t="n">
        <v>0</v>
      </c>
    </row>
    <row r="39">
      <c r="A39" t="s">
        <v>142</v>
      </c>
      <c r="B39" t="n">
        <v>0</v>
      </c>
    </row>
    <row r="40">
      <c r="A40" t="s">
        <v>143</v>
      </c>
      <c r="B40" t="n">
        <v>0</v>
      </c>
    </row>
    <row r="41">
      <c r="A41" t="s">
        <v>144</v>
      </c>
      <c r="B41" t="n">
        <v>92185126.959671</v>
      </c>
    </row>
    <row r="42">
      <c r="A42" t="s">
        <v>145</v>
      </c>
      <c r="B42" t="n">
        <v>0</v>
      </c>
    </row>
    <row r="43">
      <c r="A43" t="s">
        <v>146</v>
      </c>
      <c r="B43" t="n">
        <v>0</v>
      </c>
    </row>
    <row r="44">
      <c r="A44" t="s">
        <v>147</v>
      </c>
      <c r="B44" t="n">
        <v>31947381.8570987</v>
      </c>
    </row>
    <row r="45">
      <c r="A45" t="s">
        <v>148</v>
      </c>
      <c r="B45" t="n">
        <v>0</v>
      </c>
    </row>
    <row r="46">
      <c r="A46" t="s">
        <v>149</v>
      </c>
      <c r="B46" t="n">
        <v>0</v>
      </c>
    </row>
    <row r="47">
      <c r="A47" t="s">
        <v>150</v>
      </c>
      <c r="B47" t="n">
        <v>0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0</v>
      </c>
    </row>
    <row r="51">
      <c r="A51" t="s">
        <v>154</v>
      </c>
      <c r="B51" t="n">
        <v>0</v>
      </c>
    </row>
    <row r="52">
      <c r="A52" t="s">
        <v>155</v>
      </c>
      <c r="B52" t="n">
        <v>0</v>
      </c>
    </row>
    <row r="53">
      <c r="A53" t="s">
        <v>156</v>
      </c>
      <c r="B53" t="n">
        <v>124017230.410396</v>
      </c>
    </row>
    <row r="54">
      <c r="A54" t="s">
        <v>157</v>
      </c>
      <c r="B54" t="n">
        <v>1254178139.85446</v>
      </c>
    </row>
    <row r="55">
      <c r="A55" t="s">
        <v>158</v>
      </c>
      <c r="B55" t="n">
        <v>0</v>
      </c>
    </row>
    <row r="56">
      <c r="A56" t="s">
        <v>159</v>
      </c>
      <c r="B56" t="n">
        <v>0</v>
      </c>
    </row>
    <row r="57">
      <c r="A57" t="s">
        <v>160</v>
      </c>
      <c r="B57" t="n">
        <v>0</v>
      </c>
    </row>
    <row r="58">
      <c r="A58" t="s">
        <v>161</v>
      </c>
      <c r="B58" t="n">
        <v>0</v>
      </c>
    </row>
    <row r="59">
      <c r="A59" t="s">
        <v>162</v>
      </c>
      <c r="B59" t="n">
        <v>0</v>
      </c>
    </row>
    <row r="60">
      <c r="A60" t="s">
        <v>163</v>
      </c>
      <c r="B60" t="n">
        <v>0</v>
      </c>
    </row>
    <row r="61">
      <c r="A61" t="s">
        <v>164</v>
      </c>
      <c r="B61" t="n">
        <v>0</v>
      </c>
    </row>
    <row r="62">
      <c r="A62" t="s">
        <v>165</v>
      </c>
      <c r="B62" t="n">
        <v>0</v>
      </c>
    </row>
    <row r="63">
      <c r="A63" t="s">
        <v>166</v>
      </c>
      <c r="B63" t="n">
        <v>0</v>
      </c>
    </row>
    <row r="64">
      <c r="A64" t="s">
        <v>167</v>
      </c>
      <c r="B64" t="n">
        <v>0</v>
      </c>
    </row>
    <row r="65">
      <c r="A65" t="s">
        <v>168</v>
      </c>
      <c r="B65" t="n">
        <v>0</v>
      </c>
    </row>
    <row r="66">
      <c r="A66" t="s">
        <v>169</v>
      </c>
      <c r="B66" t="n">
        <v>0</v>
      </c>
    </row>
    <row r="67">
      <c r="A67" t="s">
        <v>170</v>
      </c>
      <c r="B67" t="n">
        <v>0</v>
      </c>
    </row>
    <row r="68">
      <c r="A68" t="s">
        <v>171</v>
      </c>
      <c r="B68" t="n">
        <v>13365642016.5167</v>
      </c>
    </row>
    <row r="69">
      <c r="A69" t="s">
        <v>172</v>
      </c>
      <c r="B69" t="n">
        <v>2615275857.27992</v>
      </c>
    </row>
    <row r="70">
      <c r="A70" t="s">
        <v>173</v>
      </c>
      <c r="B70" t="n">
        <v>0</v>
      </c>
    </row>
    <row r="71">
      <c r="A71" t="s">
        <v>174</v>
      </c>
      <c r="B71" t="n">
        <v>26077742965.9857</v>
      </c>
    </row>
    <row r="72">
      <c r="A72" t="s">
        <v>175</v>
      </c>
      <c r="B72" t="n">
        <v>0</v>
      </c>
    </row>
    <row r="73">
      <c r="A73" t="s">
        <v>176</v>
      </c>
      <c r="B73" t="n">
        <v>-203613365.533468</v>
      </c>
    </row>
    <row r="74">
      <c r="A74" t="s">
        <v>177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178</v>
      </c>
    </row>
    <row r="2">
      <c r="A2" t="s">
        <v>105</v>
      </c>
      <c r="B2" t="n">
        <v>707858579.953901</v>
      </c>
    </row>
    <row r="3">
      <c r="A3" t="s">
        <v>106</v>
      </c>
      <c r="B3" t="n">
        <v>88956292.975259</v>
      </c>
    </row>
    <row r="4">
      <c r="A4" t="s">
        <v>107</v>
      </c>
      <c r="B4" t="n">
        <v>0</v>
      </c>
    </row>
    <row r="5">
      <c r="A5" t="s">
        <v>108</v>
      </c>
      <c r="B5" t="n">
        <v>2088918.31722038</v>
      </c>
    </row>
    <row r="6">
      <c r="A6" t="s">
        <v>109</v>
      </c>
      <c r="B6" t="n">
        <v>0</v>
      </c>
    </row>
    <row r="7">
      <c r="A7" t="s">
        <v>110</v>
      </c>
      <c r="B7" t="n">
        <v>4393450843.44926</v>
      </c>
    </row>
    <row r="8">
      <c r="A8" t="s">
        <v>111</v>
      </c>
      <c r="B8" t="n">
        <v>0</v>
      </c>
    </row>
    <row r="9">
      <c r="A9" t="s">
        <v>112</v>
      </c>
      <c r="B9" t="n">
        <v>62403327.8635697</v>
      </c>
    </row>
    <row r="10">
      <c r="A10" t="s">
        <v>113</v>
      </c>
      <c r="B10" t="n">
        <v>182033341.506214</v>
      </c>
    </row>
    <row r="11">
      <c r="A11" t="s">
        <v>114</v>
      </c>
      <c r="B11" t="n">
        <v>9385432.72440941</v>
      </c>
    </row>
    <row r="12">
      <c r="A12" t="s">
        <v>115</v>
      </c>
      <c r="B12" t="n">
        <v>276660594.742041</v>
      </c>
    </row>
    <row r="13">
      <c r="A13" t="s">
        <v>116</v>
      </c>
      <c r="B13" t="n">
        <v>167328721.783266</v>
      </c>
    </row>
    <row r="14">
      <c r="A14" t="s">
        <v>117</v>
      </c>
      <c r="B14" t="n">
        <v>1088559076.97541</v>
      </c>
    </row>
    <row r="15">
      <c r="A15" t="s">
        <v>118</v>
      </c>
      <c r="B15" t="n">
        <v>957520145.487601</v>
      </c>
    </row>
    <row r="16">
      <c r="A16" t="s">
        <v>119</v>
      </c>
      <c r="B16" t="n">
        <v>3686921588.70283</v>
      </c>
    </row>
    <row r="17">
      <c r="A17" t="s">
        <v>120</v>
      </c>
      <c r="B17" t="n">
        <v>327916521.520328</v>
      </c>
    </row>
    <row r="18">
      <c r="A18" t="s">
        <v>121</v>
      </c>
      <c r="B18" t="n">
        <v>747853822.001051</v>
      </c>
    </row>
    <row r="19">
      <c r="A19" t="s">
        <v>122</v>
      </c>
      <c r="B19" t="n">
        <v>1352514703.99931</v>
      </c>
    </row>
    <row r="20">
      <c r="A20" t="s">
        <v>123</v>
      </c>
      <c r="B20" t="n">
        <v>5497400740.78155</v>
      </c>
    </row>
    <row r="21">
      <c r="A21" t="s">
        <v>124</v>
      </c>
      <c r="B21" t="n">
        <v>1036211240.04646</v>
      </c>
    </row>
    <row r="22">
      <c r="A22" t="s">
        <v>125</v>
      </c>
      <c r="B22" t="n">
        <v>2368030493.15916</v>
      </c>
    </row>
    <row r="23">
      <c r="A23" t="s">
        <v>126</v>
      </c>
      <c r="B23" t="n">
        <v>895907442.307536</v>
      </c>
    </row>
    <row r="24">
      <c r="A24" t="s">
        <v>127</v>
      </c>
      <c r="B24" t="n">
        <v>44382325.5714273</v>
      </c>
    </row>
    <row r="25">
      <c r="A25" t="s">
        <v>128</v>
      </c>
      <c r="B25" t="n">
        <v>766888237.797007</v>
      </c>
    </row>
    <row r="26">
      <c r="A26" t="s">
        <v>129</v>
      </c>
      <c r="B26" t="n">
        <v>3698730471.47158</v>
      </c>
    </row>
    <row r="27">
      <c r="A27" t="s">
        <v>130</v>
      </c>
      <c r="B27" t="n">
        <v>1050346426.98104</v>
      </c>
    </row>
    <row r="28">
      <c r="A28" t="s">
        <v>131</v>
      </c>
      <c r="B28" t="n">
        <v>7278303704.6704</v>
      </c>
    </row>
    <row r="29">
      <c r="A29" t="s">
        <v>132</v>
      </c>
      <c r="B29" t="n">
        <v>4159056743.78866</v>
      </c>
    </row>
    <row r="30">
      <c r="A30" t="s">
        <v>133</v>
      </c>
      <c r="B30" t="n">
        <v>3804492836.4371</v>
      </c>
    </row>
    <row r="31">
      <c r="A31" t="s">
        <v>134</v>
      </c>
      <c r="B31" t="n">
        <v>4457974938.13354</v>
      </c>
    </row>
    <row r="32">
      <c r="A32" t="s">
        <v>135</v>
      </c>
      <c r="B32" t="n">
        <v>10805257843.3263</v>
      </c>
    </row>
    <row r="33">
      <c r="A33" t="s">
        <v>136</v>
      </c>
      <c r="B33" t="n">
        <v>545426825.771681</v>
      </c>
    </row>
    <row r="34">
      <c r="A34" t="s">
        <v>137</v>
      </c>
      <c r="B34" t="n">
        <v>43803476.8288764</v>
      </c>
    </row>
    <row r="35">
      <c r="A35" t="s">
        <v>138</v>
      </c>
      <c r="B35" t="n">
        <v>107530357.773993</v>
      </c>
    </row>
    <row r="36">
      <c r="A36" t="s">
        <v>139</v>
      </c>
      <c r="B36" t="n">
        <v>1184010003.81165</v>
      </c>
    </row>
    <row r="37">
      <c r="A37" t="s">
        <v>140</v>
      </c>
      <c r="B37" t="n">
        <v>608964123.669194</v>
      </c>
    </row>
    <row r="38">
      <c r="A38" t="s">
        <v>141</v>
      </c>
      <c r="B38" t="n">
        <v>7599993.87493139</v>
      </c>
    </row>
    <row r="39">
      <c r="A39" t="s">
        <v>142</v>
      </c>
      <c r="B39" t="n">
        <v>196375952.837475</v>
      </c>
    </row>
    <row r="40">
      <c r="A40" t="s">
        <v>143</v>
      </c>
      <c r="B40" t="n">
        <v>4473515.28699506</v>
      </c>
    </row>
    <row r="41">
      <c r="A41" t="s">
        <v>144</v>
      </c>
      <c r="B41" t="n">
        <v>663649787.193988</v>
      </c>
    </row>
    <row r="42">
      <c r="A42" t="s">
        <v>145</v>
      </c>
      <c r="B42" t="n">
        <v>101543420.782303</v>
      </c>
    </row>
    <row r="43">
      <c r="A43" t="s">
        <v>146</v>
      </c>
      <c r="B43" t="n">
        <v>3942958787.78801</v>
      </c>
    </row>
    <row r="44">
      <c r="A44" t="s">
        <v>147</v>
      </c>
      <c r="B44" t="n">
        <v>357834850.738377</v>
      </c>
    </row>
    <row r="45">
      <c r="A45" t="s">
        <v>148</v>
      </c>
      <c r="B45" t="n">
        <v>1957054071.16181</v>
      </c>
    </row>
    <row r="46">
      <c r="A46" t="s">
        <v>149</v>
      </c>
      <c r="B46" t="n">
        <v>957918000.409845</v>
      </c>
    </row>
    <row r="47">
      <c r="A47" t="s">
        <v>150</v>
      </c>
      <c r="B47" t="n">
        <v>3860952381.73696</v>
      </c>
    </row>
    <row r="48">
      <c r="A48" t="s">
        <v>151</v>
      </c>
      <c r="B48" t="n">
        <v>1553780364.3181</v>
      </c>
    </row>
    <row r="49">
      <c r="A49" t="s">
        <v>152</v>
      </c>
      <c r="B49" t="n">
        <v>31881849306.4547</v>
      </c>
    </row>
    <row r="50">
      <c r="A50" t="s">
        <v>153</v>
      </c>
      <c r="B50" t="n">
        <v>92607854.3616546</v>
      </c>
    </row>
    <row r="51">
      <c r="A51" t="s">
        <v>154</v>
      </c>
      <c r="B51" t="n">
        <v>970504206.066817</v>
      </c>
    </row>
    <row r="52">
      <c r="A52" t="s">
        <v>155</v>
      </c>
      <c r="B52" t="n">
        <v>1133991433.05889</v>
      </c>
    </row>
    <row r="53">
      <c r="A53" t="s">
        <v>156</v>
      </c>
      <c r="B53" t="n">
        <v>0</v>
      </c>
    </row>
    <row r="54">
      <c r="A54" t="s">
        <v>157</v>
      </c>
      <c r="B54" t="n">
        <v>744375037.432224</v>
      </c>
    </row>
    <row r="55">
      <c r="A55" t="s">
        <v>158</v>
      </c>
      <c r="B55" t="n">
        <v>0</v>
      </c>
    </row>
    <row r="56">
      <c r="A56" t="s">
        <v>159</v>
      </c>
      <c r="B56" t="n">
        <v>1146151279.17083</v>
      </c>
    </row>
    <row r="57">
      <c r="A57" t="s">
        <v>160</v>
      </c>
      <c r="B57" t="n">
        <v>796626048.939322</v>
      </c>
    </row>
    <row r="58">
      <c r="A58" t="s">
        <v>161</v>
      </c>
      <c r="B58" t="n">
        <v>3583296689.72592</v>
      </c>
    </row>
    <row r="59">
      <c r="A59" t="s">
        <v>162</v>
      </c>
      <c r="B59" t="n">
        <v>14749613167.2757</v>
      </c>
    </row>
    <row r="60">
      <c r="A60" t="s">
        <v>163</v>
      </c>
      <c r="B60" t="n">
        <v>14667161412.1667</v>
      </c>
    </row>
    <row r="61">
      <c r="A61" t="s">
        <v>164</v>
      </c>
      <c r="B61" t="n">
        <v>3307603087.93365</v>
      </c>
    </row>
    <row r="62">
      <c r="A62" t="s">
        <v>165</v>
      </c>
      <c r="B62" t="n">
        <v>3209955096.37413</v>
      </c>
    </row>
    <row r="63">
      <c r="A63" t="s">
        <v>166</v>
      </c>
      <c r="B63" t="n">
        <v>592400470.927431</v>
      </c>
    </row>
    <row r="64">
      <c r="A64" t="s">
        <v>167</v>
      </c>
      <c r="B64" t="n">
        <v>2561803134.59925</v>
      </c>
    </row>
    <row r="65">
      <c r="A65" t="s">
        <v>168</v>
      </c>
      <c r="B65" t="n">
        <v>3018510509.53327</v>
      </c>
    </row>
    <row r="66">
      <c r="A66" t="s">
        <v>169</v>
      </c>
      <c r="B66" t="n">
        <v>12158923338.0462</v>
      </c>
    </row>
    <row r="67">
      <c r="A67" t="s">
        <v>170</v>
      </c>
      <c r="B67" t="n">
        <v>8534387097.38756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64202284.7528168</v>
      </c>
    </row>
    <row r="71">
      <c r="A71" t="s">
        <v>174</v>
      </c>
      <c r="B71" t="n">
        <v>0</v>
      </c>
    </row>
    <row r="72">
      <c r="A72" t="s">
        <v>175</v>
      </c>
      <c r="B72" t="n">
        <v>548448369.884649</v>
      </c>
    </row>
    <row r="73">
      <c r="A73" t="s">
        <v>176</v>
      </c>
      <c r="B73" t="n">
        <v>1231237088.76728</v>
      </c>
    </row>
    <row r="74">
      <c r="A74" t="s">
        <v>177</v>
      </c>
      <c r="B74" t="n">
        <v>-1112595786.69033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179</v>
      </c>
    </row>
    <row r="2">
      <c r="A2" t="s">
        <v>105</v>
      </c>
      <c r="B2" t="n">
        <v>144463214.955092</v>
      </c>
    </row>
    <row r="3">
      <c r="A3" t="s">
        <v>106</v>
      </c>
      <c r="B3" t="n">
        <v>34559141.5956962</v>
      </c>
    </row>
    <row r="4">
      <c r="A4" t="s">
        <v>107</v>
      </c>
      <c r="B4" t="n">
        <v>1261549.68541129</v>
      </c>
    </row>
    <row r="5">
      <c r="A5" t="s">
        <v>108</v>
      </c>
      <c r="B5" t="n">
        <v>29495803.4463487</v>
      </c>
    </row>
    <row r="6">
      <c r="A6" t="s">
        <v>109</v>
      </c>
      <c r="B6" t="n">
        <v>642973.020967187</v>
      </c>
    </row>
    <row r="7">
      <c r="A7" t="s">
        <v>110</v>
      </c>
      <c r="B7" t="n">
        <v>66406183.9139294</v>
      </c>
    </row>
    <row r="8">
      <c r="A8" t="s">
        <v>111</v>
      </c>
      <c r="B8" t="n">
        <v>1444112.97820913</v>
      </c>
    </row>
    <row r="9">
      <c r="A9" t="s">
        <v>112</v>
      </c>
      <c r="B9" t="n">
        <v>60676159.5912291</v>
      </c>
    </row>
    <row r="10">
      <c r="A10" t="s">
        <v>113</v>
      </c>
      <c r="B10" t="n">
        <v>153905793.866735</v>
      </c>
    </row>
    <row r="11">
      <c r="A11" t="s">
        <v>114</v>
      </c>
      <c r="B11" t="n">
        <v>171697070.407716</v>
      </c>
    </row>
    <row r="12">
      <c r="A12" t="s">
        <v>115</v>
      </c>
      <c r="B12" t="n">
        <v>850176167.112493</v>
      </c>
    </row>
    <row r="13">
      <c r="A13" t="s">
        <v>116</v>
      </c>
      <c r="B13" t="n">
        <v>1424670637.11599</v>
      </c>
    </row>
    <row r="14">
      <c r="A14" t="s">
        <v>117</v>
      </c>
      <c r="B14" t="n">
        <v>724246541.744511</v>
      </c>
    </row>
    <row r="15">
      <c r="A15" t="s">
        <v>118</v>
      </c>
      <c r="B15" t="n">
        <v>759580534.235063</v>
      </c>
    </row>
    <row r="16">
      <c r="A16" t="s">
        <v>119</v>
      </c>
      <c r="B16" t="n">
        <v>9814588925.26492</v>
      </c>
    </row>
    <row r="17">
      <c r="A17" t="s">
        <v>120</v>
      </c>
      <c r="B17" t="n">
        <v>1572359985.37643</v>
      </c>
    </row>
    <row r="18">
      <c r="A18" t="s">
        <v>121</v>
      </c>
      <c r="B18" t="n">
        <v>56486353.6318847</v>
      </c>
    </row>
    <row r="19">
      <c r="A19" t="s">
        <v>122</v>
      </c>
      <c r="B19" t="n">
        <v>101443203.016029</v>
      </c>
    </row>
    <row r="20">
      <c r="A20" t="s">
        <v>123</v>
      </c>
      <c r="B20" t="n">
        <v>869525379.588483</v>
      </c>
    </row>
    <row r="21">
      <c r="A21" t="s">
        <v>124</v>
      </c>
      <c r="B21" t="n">
        <v>549134329.607924</v>
      </c>
    </row>
    <row r="22">
      <c r="A22" t="s">
        <v>125</v>
      </c>
      <c r="B22" t="n">
        <v>35737027.3963059</v>
      </c>
    </row>
    <row r="23">
      <c r="A23" t="s">
        <v>126</v>
      </c>
      <c r="B23" t="n">
        <v>922051716.021507</v>
      </c>
    </row>
    <row r="24">
      <c r="A24" t="s">
        <v>127</v>
      </c>
      <c r="B24" t="n">
        <v>27919408.0132347</v>
      </c>
    </row>
    <row r="25">
      <c r="A25" t="s">
        <v>128</v>
      </c>
      <c r="B25" t="n">
        <v>16425062.7723276</v>
      </c>
    </row>
    <row r="26">
      <c r="A26" t="s">
        <v>129</v>
      </c>
      <c r="B26" t="n">
        <v>2505714460.26422</v>
      </c>
    </row>
    <row r="27">
      <c r="A27" t="s">
        <v>130</v>
      </c>
      <c r="B27" t="n">
        <v>1902921892.33796</v>
      </c>
    </row>
    <row r="28">
      <c r="A28" t="s">
        <v>131</v>
      </c>
      <c r="B28" t="n">
        <v>2486187700.28194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92416351.1137816</v>
      </c>
    </row>
    <row r="34">
      <c r="A34" t="s">
        <v>137</v>
      </c>
      <c r="B34" t="n">
        <v>85239189.029575</v>
      </c>
    </row>
    <row r="35">
      <c r="A35" t="s">
        <v>138</v>
      </c>
      <c r="B35" t="n">
        <v>25451413.9161993</v>
      </c>
    </row>
    <row r="36">
      <c r="A36" t="s">
        <v>139</v>
      </c>
      <c r="B36" t="n">
        <v>438352904.647229</v>
      </c>
    </row>
    <row r="37">
      <c r="A37" t="s">
        <v>140</v>
      </c>
      <c r="B37" t="n">
        <v>0</v>
      </c>
    </row>
    <row r="38">
      <c r="A38" t="s">
        <v>141</v>
      </c>
      <c r="B38" t="n">
        <v>12213856.7735924</v>
      </c>
    </row>
    <row r="39">
      <c r="A39" t="s">
        <v>142</v>
      </c>
      <c r="B39" t="n">
        <v>121765829.904916</v>
      </c>
    </row>
    <row r="40">
      <c r="A40" t="s">
        <v>143</v>
      </c>
      <c r="B40" t="n">
        <v>2905823.08897243</v>
      </c>
    </row>
    <row r="41">
      <c r="A41" t="s">
        <v>144</v>
      </c>
      <c r="B41" t="n">
        <v>179331997.39154</v>
      </c>
    </row>
    <row r="42">
      <c r="A42" t="s">
        <v>145</v>
      </c>
      <c r="B42" t="n">
        <v>58663071.9647113</v>
      </c>
    </row>
    <row r="43">
      <c r="A43" t="s">
        <v>146</v>
      </c>
      <c r="B43" t="n">
        <v>113380621.544139</v>
      </c>
    </row>
    <row r="44">
      <c r="A44" t="s">
        <v>147</v>
      </c>
      <c r="B44" t="n">
        <v>30065090.1700685</v>
      </c>
    </row>
    <row r="45">
      <c r="A45" t="s">
        <v>148</v>
      </c>
      <c r="B45" t="n">
        <v>436474660.195391</v>
      </c>
    </row>
    <row r="46">
      <c r="A46" t="s">
        <v>149</v>
      </c>
      <c r="B46" t="n">
        <v>252108158.500554</v>
      </c>
    </row>
    <row r="47">
      <c r="A47" t="s">
        <v>150</v>
      </c>
      <c r="B47" t="n">
        <v>168583182.522414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24337871.3351176</v>
      </c>
    </row>
    <row r="51">
      <c r="A51" t="s">
        <v>154</v>
      </c>
      <c r="B51" t="n">
        <v>767993658.536765</v>
      </c>
    </row>
    <row r="52">
      <c r="A52" t="s">
        <v>155</v>
      </c>
      <c r="B52" t="n">
        <v>149988917.152199</v>
      </c>
    </row>
    <row r="53">
      <c r="A53" t="s">
        <v>156</v>
      </c>
      <c r="B53" t="n">
        <v>263631705.179001</v>
      </c>
    </row>
    <row r="54">
      <c r="A54" t="s">
        <v>157</v>
      </c>
      <c r="B54" t="n">
        <v>1455223755.3505</v>
      </c>
    </row>
    <row r="55">
      <c r="A55" t="s">
        <v>158</v>
      </c>
      <c r="B55" t="n">
        <v>32952261.1950234</v>
      </c>
    </row>
    <row r="56">
      <c r="A56" t="s">
        <v>159</v>
      </c>
      <c r="B56" t="n">
        <v>42894778.4942694</v>
      </c>
    </row>
    <row r="57">
      <c r="A57" t="s">
        <v>160</v>
      </c>
      <c r="B57" t="n">
        <v>6395248.14273623</v>
      </c>
    </row>
    <row r="58">
      <c r="A58" t="s">
        <v>161</v>
      </c>
      <c r="B58" t="n">
        <v>22670623.5430505</v>
      </c>
    </row>
    <row r="59">
      <c r="A59" t="s">
        <v>162</v>
      </c>
      <c r="B59" t="n">
        <v>12858492.3254211</v>
      </c>
    </row>
    <row r="60">
      <c r="A60" t="s">
        <v>163</v>
      </c>
      <c r="B60" t="n">
        <v>36128932.3261195</v>
      </c>
    </row>
    <row r="61">
      <c r="A61" t="s">
        <v>164</v>
      </c>
      <c r="B61" t="n">
        <v>3240762.41057936</v>
      </c>
    </row>
    <row r="62">
      <c r="A62" t="s">
        <v>165</v>
      </c>
      <c r="B62" t="n">
        <v>0</v>
      </c>
    </row>
    <row r="63">
      <c r="A63" t="s">
        <v>166</v>
      </c>
      <c r="B63" t="n">
        <v>7364338.97292302</v>
      </c>
    </row>
    <row r="64">
      <c r="A64" t="s">
        <v>167</v>
      </c>
      <c r="B64" t="n">
        <v>223242.049783096</v>
      </c>
    </row>
    <row r="65">
      <c r="A65" t="s">
        <v>168</v>
      </c>
      <c r="B65" t="n">
        <v>0</v>
      </c>
    </row>
    <row r="66">
      <c r="A66" t="s">
        <v>169</v>
      </c>
      <c r="B66" t="n">
        <v>39872869.0071774</v>
      </c>
    </row>
    <row r="67">
      <c r="A67" t="s">
        <v>170</v>
      </c>
      <c r="B67" t="n">
        <v>992886.413845281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7834576.75454794</v>
      </c>
    </row>
    <row r="71">
      <c r="A71" t="s">
        <v>174</v>
      </c>
      <c r="B71" t="n">
        <v>0</v>
      </c>
    </row>
    <row r="72">
      <c r="A72" t="s">
        <v>175</v>
      </c>
      <c r="B72" t="n">
        <v>0</v>
      </c>
    </row>
    <row r="73">
      <c r="A73" t="s">
        <v>176</v>
      </c>
      <c r="B73" t="n">
        <v>563812094.92631</v>
      </c>
    </row>
    <row r="74">
      <c r="A74" t="s">
        <v>177</v>
      </c>
      <c r="B74" t="n">
        <v>2088955792.67037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180</v>
      </c>
    </row>
    <row r="2">
      <c r="A2" t="s">
        <v>105</v>
      </c>
      <c r="B2" t="n">
        <v>1565767650.15117</v>
      </c>
    </row>
    <row r="3">
      <c r="A3" t="s">
        <v>106</v>
      </c>
      <c r="B3" t="n">
        <v>769156025.536659</v>
      </c>
    </row>
    <row r="4">
      <c r="A4" t="s">
        <v>107</v>
      </c>
      <c r="B4" t="n">
        <v>294430211.820994</v>
      </c>
    </row>
    <row r="5">
      <c r="A5" t="s">
        <v>108</v>
      </c>
      <c r="B5" t="n">
        <v>813386009.620264</v>
      </c>
    </row>
    <row r="6">
      <c r="A6" t="s">
        <v>109</v>
      </c>
      <c r="B6" t="n">
        <v>31099725.3786788</v>
      </c>
    </row>
    <row r="7">
      <c r="A7" t="s">
        <v>110</v>
      </c>
      <c r="B7" t="n">
        <v>5817972031.31154</v>
      </c>
    </row>
    <row r="8">
      <c r="A8" t="s">
        <v>111</v>
      </c>
      <c r="B8" t="n">
        <v>3695795785.26788</v>
      </c>
    </row>
    <row r="9">
      <c r="A9" t="s">
        <v>112</v>
      </c>
      <c r="B9" t="n">
        <v>2429427798.94755</v>
      </c>
    </row>
    <row r="10">
      <c r="A10" t="s">
        <v>113</v>
      </c>
      <c r="B10" t="n">
        <v>2391800412.02812</v>
      </c>
    </row>
    <row r="11">
      <c r="A11" t="s">
        <v>114</v>
      </c>
      <c r="B11" t="n">
        <v>5243124169.70836</v>
      </c>
    </row>
    <row r="12">
      <c r="A12" t="s">
        <v>115</v>
      </c>
      <c r="B12" t="n">
        <v>6264180526.74165</v>
      </c>
    </row>
    <row r="13">
      <c r="A13" t="s">
        <v>116</v>
      </c>
      <c r="B13" t="n">
        <v>3885539770.63919</v>
      </c>
    </row>
    <row r="14">
      <c r="A14" t="s">
        <v>117</v>
      </c>
      <c r="B14" t="n">
        <v>1853990770.40758</v>
      </c>
    </row>
    <row r="15">
      <c r="A15" t="s">
        <v>118</v>
      </c>
      <c r="B15" t="n">
        <v>3051918351.08234</v>
      </c>
    </row>
    <row r="16">
      <c r="A16" t="s">
        <v>119</v>
      </c>
      <c r="B16" t="n">
        <v>7536704596.44605</v>
      </c>
    </row>
    <row r="17">
      <c r="A17" t="s">
        <v>120</v>
      </c>
      <c r="B17" t="n">
        <v>1617124979.33884</v>
      </c>
    </row>
    <row r="18">
      <c r="A18" t="s">
        <v>121</v>
      </c>
      <c r="B18" t="n">
        <v>435520488.807463</v>
      </c>
    </row>
    <row r="19">
      <c r="A19" t="s">
        <v>122</v>
      </c>
      <c r="B19" t="n">
        <v>880082260.348198</v>
      </c>
    </row>
    <row r="20">
      <c r="A20" t="s">
        <v>123</v>
      </c>
      <c r="B20" t="n">
        <v>2727627895.14286</v>
      </c>
    </row>
    <row r="21">
      <c r="A21" t="s">
        <v>124</v>
      </c>
      <c r="B21" t="n">
        <v>2838559282.46339</v>
      </c>
    </row>
    <row r="22">
      <c r="A22" t="s">
        <v>125</v>
      </c>
      <c r="B22" t="n">
        <v>275520705.663127</v>
      </c>
    </row>
    <row r="23">
      <c r="A23" t="s">
        <v>126</v>
      </c>
      <c r="B23" t="n">
        <v>6974523437.2354</v>
      </c>
    </row>
    <row r="24">
      <c r="A24" t="s">
        <v>127</v>
      </c>
      <c r="B24" t="n">
        <v>783848047.647156</v>
      </c>
    </row>
    <row r="25">
      <c r="A25" t="s">
        <v>128</v>
      </c>
      <c r="B25" t="n">
        <v>1210919072.23802</v>
      </c>
    </row>
    <row r="26">
      <c r="A26" t="s">
        <v>129</v>
      </c>
      <c r="B26" t="n">
        <v>7317254288.94079</v>
      </c>
    </row>
    <row r="27">
      <c r="A27" t="s">
        <v>130</v>
      </c>
      <c r="B27" t="n">
        <v>8927424425.40679</v>
      </c>
    </row>
    <row r="28">
      <c r="A28" t="s">
        <v>131</v>
      </c>
      <c r="B28" t="n">
        <v>12005055798.4325</v>
      </c>
    </row>
    <row r="29">
      <c r="A29" t="s">
        <v>132</v>
      </c>
      <c r="B29" t="n">
        <v>400471043.587417</v>
      </c>
    </row>
    <row r="30">
      <c r="A30" t="s">
        <v>133</v>
      </c>
      <c r="B30" t="n">
        <v>33538429.0086821</v>
      </c>
    </row>
    <row r="31">
      <c r="A31" t="s">
        <v>134</v>
      </c>
      <c r="B31" t="n">
        <v>105855025.437935</v>
      </c>
    </row>
    <row r="32">
      <c r="A32" t="s">
        <v>135</v>
      </c>
      <c r="B32" t="n">
        <v>1359608982.25261</v>
      </c>
    </row>
    <row r="33">
      <c r="A33" t="s">
        <v>136</v>
      </c>
      <c r="B33" t="n">
        <v>413383019.774235</v>
      </c>
    </row>
    <row r="34">
      <c r="A34" t="s">
        <v>137</v>
      </c>
      <c r="B34" t="n">
        <v>416228609.52287</v>
      </c>
    </row>
    <row r="35">
      <c r="A35" t="s">
        <v>138</v>
      </c>
      <c r="B35" t="n">
        <v>56721618.5475669</v>
      </c>
    </row>
    <row r="36">
      <c r="A36" t="s">
        <v>139</v>
      </c>
      <c r="B36" t="n">
        <v>2945042111.49956</v>
      </c>
    </row>
    <row r="37">
      <c r="A37" t="s">
        <v>140</v>
      </c>
      <c r="B37" t="n">
        <v>743891969.267583</v>
      </c>
    </row>
    <row r="38">
      <c r="A38" t="s">
        <v>141</v>
      </c>
      <c r="B38" t="n">
        <v>63856687.0850357</v>
      </c>
    </row>
    <row r="39">
      <c r="A39" t="s">
        <v>142</v>
      </c>
      <c r="B39" t="n">
        <v>2803559538.81316</v>
      </c>
    </row>
    <row r="40">
      <c r="A40" t="s">
        <v>143</v>
      </c>
      <c r="B40" t="n">
        <v>2394481178.18355</v>
      </c>
    </row>
    <row r="41">
      <c r="A41" t="s">
        <v>144</v>
      </c>
      <c r="B41" t="n">
        <v>388422403.721303</v>
      </c>
    </row>
    <row r="42">
      <c r="A42" t="s">
        <v>145</v>
      </c>
      <c r="B42" t="n">
        <v>324986649.109338</v>
      </c>
    </row>
    <row r="43">
      <c r="A43" t="s">
        <v>146</v>
      </c>
      <c r="B43" t="n">
        <v>3553330954.39975</v>
      </c>
    </row>
    <row r="44">
      <c r="A44" t="s">
        <v>147</v>
      </c>
      <c r="B44" t="n">
        <v>1150532713.62917</v>
      </c>
    </row>
    <row r="45">
      <c r="A45" t="s">
        <v>148</v>
      </c>
      <c r="B45" t="n">
        <v>4212171336.63392</v>
      </c>
    </row>
    <row r="46">
      <c r="A46" t="s">
        <v>149</v>
      </c>
      <c r="B46" t="n">
        <v>896570186.1227</v>
      </c>
    </row>
    <row r="47">
      <c r="A47" t="s">
        <v>150</v>
      </c>
      <c r="B47" t="n">
        <v>6368391491.36141</v>
      </c>
    </row>
    <row r="48">
      <c r="A48" t="s">
        <v>151</v>
      </c>
      <c r="B48" t="n">
        <v>107734481.943002</v>
      </c>
    </row>
    <row r="49">
      <c r="A49" t="s">
        <v>152</v>
      </c>
      <c r="B49" t="n">
        <v>0</v>
      </c>
    </row>
    <row r="50">
      <c r="A50" t="s">
        <v>153</v>
      </c>
      <c r="B50" t="n">
        <v>13356909237.5318</v>
      </c>
    </row>
    <row r="51">
      <c r="A51" t="s">
        <v>154</v>
      </c>
      <c r="B51" t="n">
        <v>2727652867.94912</v>
      </c>
    </row>
    <row r="52">
      <c r="A52" t="s">
        <v>155</v>
      </c>
      <c r="B52" t="n">
        <v>1995206314.5984</v>
      </c>
    </row>
    <row r="53">
      <c r="A53" t="s">
        <v>156</v>
      </c>
      <c r="B53" t="n">
        <v>2172529744.22738</v>
      </c>
    </row>
    <row r="54">
      <c r="A54" t="s">
        <v>157</v>
      </c>
      <c r="B54" t="n">
        <v>12031682666.7525</v>
      </c>
    </row>
    <row r="55">
      <c r="A55" t="s">
        <v>158</v>
      </c>
      <c r="B55" t="n">
        <v>4515246481.84583</v>
      </c>
    </row>
    <row r="56">
      <c r="A56" t="s">
        <v>159</v>
      </c>
      <c r="B56" t="n">
        <v>13009056703.2542</v>
      </c>
    </row>
    <row r="57">
      <c r="A57" t="s">
        <v>160</v>
      </c>
      <c r="B57" t="n">
        <v>3071860282.42996</v>
      </c>
    </row>
    <row r="58">
      <c r="A58" t="s">
        <v>161</v>
      </c>
      <c r="B58" t="n">
        <v>203886521.275025</v>
      </c>
    </row>
    <row r="59">
      <c r="A59" t="s">
        <v>162</v>
      </c>
      <c r="B59" t="n">
        <v>447463638.879674</v>
      </c>
    </row>
    <row r="60">
      <c r="A60" t="s">
        <v>163</v>
      </c>
      <c r="B60" t="n">
        <v>5613582.81965514</v>
      </c>
    </row>
    <row r="61">
      <c r="A61" t="s">
        <v>164</v>
      </c>
      <c r="B61" t="n">
        <v>39329846.2438825</v>
      </c>
    </row>
    <row r="62">
      <c r="A62" t="s">
        <v>165</v>
      </c>
      <c r="B62" t="n">
        <v>0</v>
      </c>
    </row>
    <row r="63">
      <c r="A63" t="s">
        <v>166</v>
      </c>
      <c r="B63" t="n">
        <v>406579630.223634</v>
      </c>
    </row>
    <row r="64">
      <c r="A64" t="s">
        <v>167</v>
      </c>
      <c r="B64" t="n">
        <v>76384809.3932782</v>
      </c>
    </row>
    <row r="65">
      <c r="A65" t="s">
        <v>168</v>
      </c>
      <c r="B65" t="n">
        <v>1094718401.86385</v>
      </c>
    </row>
    <row r="66">
      <c r="A66" t="s">
        <v>169</v>
      </c>
      <c r="B66" t="n">
        <v>2313534661.58955</v>
      </c>
    </row>
    <row r="67">
      <c r="A67" t="s">
        <v>170</v>
      </c>
      <c r="B67" t="n">
        <v>3260823497.64803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595756294.320561</v>
      </c>
    </row>
    <row r="71">
      <c r="A71" t="s">
        <v>174</v>
      </c>
      <c r="B71" t="n">
        <v>0</v>
      </c>
    </row>
    <row r="72">
      <c r="A72" t="s">
        <v>175</v>
      </c>
      <c r="B72" t="n">
        <v>483184682.423414</v>
      </c>
    </row>
    <row r="73">
      <c r="A73" t="s">
        <v>176</v>
      </c>
      <c r="B73" t="n">
        <v>1013003009.33635</v>
      </c>
    </row>
    <row r="74">
      <c r="A74" t="s">
        <v>177</v>
      </c>
      <c r="B74" t="n">
        <v>1132560509.02527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103</v>
      </c>
      <c r="B1" t="s">
        <v>181</v>
      </c>
    </row>
    <row r="2">
      <c r="A2" t="str">
        <f>'1_Gov_purchases_by_BEA'!A2</f>
      </c>
      <c r="B2" t="str">
        <f>'1_Gov_purchases_by_BEA'!B2+'2_HH_purchases_by_BEA'!B2+'3_Intl_purchases_by_BEA'!B2+'4_DomInd_purchases_by_BEA'!B2</f>
      </c>
    </row>
    <row r="3">
      <c r="A3" t="str">
        <f>'1_Gov_purchases_by_BEA'!A3</f>
      </c>
      <c r="B3" t="str">
        <f>'1_Gov_purchases_by_BEA'!B3+'2_HH_purchases_by_BEA'!B3+'3_Intl_purchases_by_BEA'!B3+'4_DomInd_purchases_by_BEA'!B3</f>
      </c>
    </row>
    <row r="4">
      <c r="A4" t="str">
        <f>'1_Gov_purchases_by_BEA'!A4</f>
      </c>
      <c r="B4" t="str">
        <f>'1_Gov_purchases_by_BEA'!B4+'2_HH_purchases_by_BEA'!B4+'3_Intl_purchases_by_BEA'!B4+'4_DomInd_purchases_by_BEA'!B4</f>
      </c>
    </row>
    <row r="5">
      <c r="A5" t="str">
        <f>'1_Gov_purchases_by_BEA'!A5</f>
      </c>
      <c r="B5" t="str">
        <f>'1_Gov_purchases_by_BEA'!B5+'2_HH_purchases_by_BEA'!B5+'3_Intl_purchases_by_BEA'!B5+'4_DomInd_purchases_by_BEA'!B5</f>
      </c>
    </row>
    <row r="6">
      <c r="A6" t="str">
        <f>'1_Gov_purchases_by_BEA'!A6</f>
      </c>
      <c r="B6" t="str">
        <f>'1_Gov_purchases_by_BEA'!B6+'2_HH_purchases_by_BEA'!B6+'3_Intl_purchases_by_BEA'!B6+'4_DomInd_purchases_by_BEA'!B6</f>
      </c>
    </row>
    <row r="7">
      <c r="A7" t="str">
        <f>'1_Gov_purchases_by_BEA'!A7</f>
      </c>
      <c r="B7" t="str">
        <f>'1_Gov_purchases_by_BEA'!B7+'2_HH_purchases_by_BEA'!B7+'3_Intl_purchases_by_BEA'!B7+'4_DomInd_purchases_by_BEA'!B7</f>
      </c>
    </row>
    <row r="8">
      <c r="A8" t="str">
        <f>'1_Gov_purchases_by_BEA'!A8</f>
      </c>
      <c r="B8" t="str">
        <f>'1_Gov_purchases_by_BEA'!B8+'2_HH_purchases_by_BEA'!B8+'3_Intl_purchases_by_BEA'!B8+'4_DomInd_purchases_by_BEA'!B8</f>
      </c>
    </row>
    <row r="9">
      <c r="A9" t="str">
        <f>'1_Gov_purchases_by_BEA'!A9</f>
      </c>
      <c r="B9" t="str">
        <f>'1_Gov_purchases_by_BEA'!B9+'2_HH_purchases_by_BEA'!B9+'3_Intl_purchases_by_BEA'!B9+'4_DomInd_purchases_by_BEA'!B9</f>
      </c>
    </row>
    <row r="10">
      <c r="A10" t="str">
        <f>'1_Gov_purchases_by_BEA'!A10</f>
      </c>
      <c r="B10" t="str">
        <f>'1_Gov_purchases_by_BEA'!B10+'2_HH_purchases_by_BEA'!B10+'3_Intl_purchases_by_BEA'!B10+'4_DomInd_purchases_by_BEA'!B10</f>
      </c>
    </row>
    <row r="11">
      <c r="A11" t="str">
        <f>'1_Gov_purchases_by_BEA'!A11</f>
      </c>
      <c r="B11" t="str">
        <f>'1_Gov_purchases_by_BEA'!B11+'2_HH_purchases_by_BEA'!B11+'3_Intl_purchases_by_BEA'!B11+'4_DomInd_purchases_by_BEA'!B11</f>
      </c>
    </row>
    <row r="12">
      <c r="A12" t="str">
        <f>'1_Gov_purchases_by_BEA'!A12</f>
      </c>
      <c r="B12" t="str">
        <f>'1_Gov_purchases_by_BEA'!B12+'2_HH_purchases_by_BEA'!B12+'3_Intl_purchases_by_BEA'!B12+'4_DomInd_purchases_by_BEA'!B12</f>
      </c>
    </row>
    <row r="13">
      <c r="A13" t="str">
        <f>'1_Gov_purchases_by_BEA'!A13</f>
      </c>
      <c r="B13" t="str">
        <f>'1_Gov_purchases_by_BEA'!B13+'2_HH_purchases_by_BEA'!B13+'3_Intl_purchases_by_BEA'!B13+'4_DomInd_purchases_by_BEA'!B13</f>
      </c>
    </row>
    <row r="14">
      <c r="A14" t="str">
        <f>'1_Gov_purchases_by_BEA'!A14</f>
      </c>
      <c r="B14" t="str">
        <f>'1_Gov_purchases_by_BEA'!B14+'2_HH_purchases_by_BEA'!B14+'3_Intl_purchases_by_BEA'!B14+'4_DomInd_purchases_by_BEA'!B14</f>
      </c>
    </row>
    <row r="15">
      <c r="A15" t="str">
        <f>'1_Gov_purchases_by_BEA'!A15</f>
      </c>
      <c r="B15" t="str">
        <f>'1_Gov_purchases_by_BEA'!B15+'2_HH_purchases_by_BEA'!B15+'3_Intl_purchases_by_BEA'!B15+'4_DomInd_purchases_by_BEA'!B15</f>
      </c>
    </row>
    <row r="16">
      <c r="A16" t="str">
        <f>'1_Gov_purchases_by_BEA'!A16</f>
      </c>
      <c r="B16" t="str">
        <f>'1_Gov_purchases_by_BEA'!B16+'2_HH_purchases_by_BEA'!B16+'3_Intl_purchases_by_BEA'!B16+'4_DomInd_purchases_by_BEA'!B16</f>
      </c>
    </row>
    <row r="17">
      <c r="A17" t="str">
        <f>'1_Gov_purchases_by_BEA'!A17</f>
      </c>
      <c r="B17" t="str">
        <f>'1_Gov_purchases_by_BEA'!B17+'2_HH_purchases_by_BEA'!B17+'3_Intl_purchases_by_BEA'!B17+'4_DomInd_purchases_by_BEA'!B17</f>
      </c>
    </row>
    <row r="18">
      <c r="A18" t="str">
        <f>'1_Gov_purchases_by_BEA'!A18</f>
      </c>
      <c r="B18" t="str">
        <f>'1_Gov_purchases_by_BEA'!B18+'2_HH_purchases_by_BEA'!B18+'3_Intl_purchases_by_BEA'!B18+'4_DomInd_purchases_by_BEA'!B18</f>
      </c>
    </row>
    <row r="19">
      <c r="A19" t="str">
        <f>'1_Gov_purchases_by_BEA'!A19</f>
      </c>
      <c r="B19" t="str">
        <f>'1_Gov_purchases_by_BEA'!B19+'2_HH_purchases_by_BEA'!B19+'3_Intl_purchases_by_BEA'!B19+'4_DomInd_purchases_by_BEA'!B19</f>
      </c>
    </row>
    <row r="20">
      <c r="A20" t="str">
        <f>'1_Gov_purchases_by_BEA'!A20</f>
      </c>
      <c r="B20" t="str">
        <f>'1_Gov_purchases_by_BEA'!B20+'2_HH_purchases_by_BEA'!B20+'3_Intl_purchases_by_BEA'!B20+'4_DomInd_purchases_by_BEA'!B20</f>
      </c>
    </row>
    <row r="21">
      <c r="A21" t="str">
        <f>'1_Gov_purchases_by_BEA'!A21</f>
      </c>
      <c r="B21" t="str">
        <f>'1_Gov_purchases_by_BEA'!B21+'2_HH_purchases_by_BEA'!B21+'3_Intl_purchases_by_BEA'!B21+'4_DomInd_purchases_by_BEA'!B21</f>
      </c>
    </row>
    <row r="22">
      <c r="A22" t="str">
        <f>'1_Gov_purchases_by_BEA'!A22</f>
      </c>
      <c r="B22" t="str">
        <f>'1_Gov_purchases_by_BEA'!B22+'2_HH_purchases_by_BEA'!B22+'3_Intl_purchases_by_BEA'!B22+'4_DomInd_purchases_by_BEA'!B22</f>
      </c>
    </row>
    <row r="23">
      <c r="A23" t="str">
        <f>'1_Gov_purchases_by_BEA'!A23</f>
      </c>
      <c r="B23" t="str">
        <f>'1_Gov_purchases_by_BEA'!B23+'2_HH_purchases_by_BEA'!B23+'3_Intl_purchases_by_BEA'!B23+'4_DomInd_purchases_by_BEA'!B23</f>
      </c>
    </row>
    <row r="24">
      <c r="A24" t="str">
        <f>'1_Gov_purchases_by_BEA'!A24</f>
      </c>
      <c r="B24" t="str">
        <f>'1_Gov_purchases_by_BEA'!B24+'2_HH_purchases_by_BEA'!B24+'3_Intl_purchases_by_BEA'!B24+'4_DomInd_purchases_by_BEA'!B24</f>
      </c>
    </row>
    <row r="25">
      <c r="A25" t="str">
        <f>'1_Gov_purchases_by_BEA'!A25</f>
      </c>
      <c r="B25" t="str">
        <f>'1_Gov_purchases_by_BEA'!B25+'2_HH_purchases_by_BEA'!B25+'3_Intl_purchases_by_BEA'!B25+'4_DomInd_purchases_by_BEA'!B25</f>
      </c>
    </row>
    <row r="26">
      <c r="A26" t="str">
        <f>'1_Gov_purchases_by_BEA'!A26</f>
      </c>
      <c r="B26" t="str">
        <f>'1_Gov_purchases_by_BEA'!B26+'2_HH_purchases_by_BEA'!B26+'3_Intl_purchases_by_BEA'!B26+'4_DomInd_purchases_by_BEA'!B26</f>
      </c>
    </row>
    <row r="27">
      <c r="A27" t="str">
        <f>'1_Gov_purchases_by_BEA'!A27</f>
      </c>
      <c r="B27" t="str">
        <f>'1_Gov_purchases_by_BEA'!B27+'2_HH_purchases_by_BEA'!B27+'3_Intl_purchases_by_BEA'!B27+'4_DomInd_purchases_by_BEA'!B27</f>
      </c>
    </row>
    <row r="28">
      <c r="A28" t="str">
        <f>'1_Gov_purchases_by_BEA'!A28</f>
      </c>
      <c r="B28" t="str">
        <f>'1_Gov_purchases_by_BEA'!B28+'2_HH_purchases_by_BEA'!B28+'3_Intl_purchases_by_BEA'!B28+'4_DomInd_purchases_by_BEA'!B28</f>
      </c>
    </row>
    <row r="29">
      <c r="A29" t="str">
        <f>'1_Gov_purchases_by_BEA'!A29</f>
      </c>
      <c r="B29" t="str">
        <f>'1_Gov_purchases_by_BEA'!B29+'2_HH_purchases_by_BEA'!B29+'3_Intl_purchases_by_BEA'!B29+'4_DomInd_purchases_by_BEA'!B29</f>
      </c>
    </row>
    <row r="30">
      <c r="A30" t="str">
        <f>'1_Gov_purchases_by_BEA'!A30</f>
      </c>
      <c r="B30" t="str">
        <f>'1_Gov_purchases_by_BEA'!B30+'2_HH_purchases_by_BEA'!B30+'3_Intl_purchases_by_BEA'!B30+'4_DomInd_purchases_by_BEA'!B30</f>
      </c>
    </row>
    <row r="31">
      <c r="A31" t="str">
        <f>'1_Gov_purchases_by_BEA'!A31</f>
      </c>
      <c r="B31" t="str">
        <f>'1_Gov_purchases_by_BEA'!B31+'2_HH_purchases_by_BEA'!B31+'3_Intl_purchases_by_BEA'!B31+'4_DomInd_purchases_by_BEA'!B31</f>
      </c>
    </row>
    <row r="32">
      <c r="A32" t="str">
        <f>'1_Gov_purchases_by_BEA'!A32</f>
      </c>
      <c r="B32" t="str">
        <f>'1_Gov_purchases_by_BEA'!B32+'2_HH_purchases_by_BEA'!B32+'3_Intl_purchases_by_BEA'!B32+'4_DomInd_purchases_by_BEA'!B32</f>
      </c>
    </row>
    <row r="33">
      <c r="A33" t="str">
        <f>'1_Gov_purchases_by_BEA'!A33</f>
      </c>
      <c r="B33" t="str">
        <f>'1_Gov_purchases_by_BEA'!B33+'2_HH_purchases_by_BEA'!B33+'3_Intl_purchases_by_BEA'!B33+'4_DomInd_purchases_by_BEA'!B33</f>
      </c>
    </row>
    <row r="34">
      <c r="A34" t="str">
        <f>'1_Gov_purchases_by_BEA'!A34</f>
      </c>
      <c r="B34" t="str">
        <f>'1_Gov_purchases_by_BEA'!B34+'2_HH_purchases_by_BEA'!B34+'3_Intl_purchases_by_BEA'!B34+'4_DomInd_purchases_by_BEA'!B34</f>
      </c>
    </row>
    <row r="35">
      <c r="A35" t="str">
        <f>'1_Gov_purchases_by_BEA'!A35</f>
      </c>
      <c r="B35" t="str">
        <f>'1_Gov_purchases_by_BEA'!B35+'2_HH_purchases_by_BEA'!B35+'3_Intl_purchases_by_BEA'!B35+'4_DomInd_purchases_by_BEA'!B35</f>
      </c>
    </row>
    <row r="36">
      <c r="A36" t="str">
        <f>'1_Gov_purchases_by_BEA'!A36</f>
      </c>
      <c r="B36" t="str">
        <f>'1_Gov_purchases_by_BEA'!B36+'2_HH_purchases_by_BEA'!B36+'3_Intl_purchases_by_BEA'!B36+'4_DomInd_purchases_by_BEA'!B36</f>
      </c>
    </row>
    <row r="37">
      <c r="A37" t="str">
        <f>'1_Gov_purchases_by_BEA'!A37</f>
      </c>
      <c r="B37" t="str">
        <f>'1_Gov_purchases_by_BEA'!B37+'2_HH_purchases_by_BEA'!B37+'3_Intl_purchases_by_BEA'!B37+'4_DomInd_purchases_by_BEA'!B37</f>
      </c>
    </row>
    <row r="38">
      <c r="A38" t="str">
        <f>'1_Gov_purchases_by_BEA'!A38</f>
      </c>
      <c r="B38" t="str">
        <f>'1_Gov_purchases_by_BEA'!B38+'2_HH_purchases_by_BEA'!B38+'3_Intl_purchases_by_BEA'!B38+'4_DomInd_purchases_by_BEA'!B38</f>
      </c>
    </row>
    <row r="39">
      <c r="A39" t="str">
        <f>'1_Gov_purchases_by_BEA'!A39</f>
      </c>
      <c r="B39" t="str">
        <f>'1_Gov_purchases_by_BEA'!B39+'2_HH_purchases_by_BEA'!B39+'3_Intl_purchases_by_BEA'!B39+'4_DomInd_purchases_by_BEA'!B39</f>
      </c>
    </row>
    <row r="40">
      <c r="A40" t="str">
        <f>'1_Gov_purchases_by_BEA'!A40</f>
      </c>
      <c r="B40" t="str">
        <f>'1_Gov_purchases_by_BEA'!B40+'2_HH_purchases_by_BEA'!B40+'3_Intl_purchases_by_BEA'!B40+'4_DomInd_purchases_by_BEA'!B40</f>
      </c>
    </row>
    <row r="41">
      <c r="A41" t="str">
        <f>'1_Gov_purchases_by_BEA'!A41</f>
      </c>
      <c r="B41" t="str">
        <f>'1_Gov_purchases_by_BEA'!B41+'2_HH_purchases_by_BEA'!B41+'3_Intl_purchases_by_BEA'!B41+'4_DomInd_purchases_by_BEA'!B41</f>
      </c>
    </row>
    <row r="42">
      <c r="A42" t="str">
        <f>'1_Gov_purchases_by_BEA'!A42</f>
      </c>
      <c r="B42" t="str">
        <f>'1_Gov_purchases_by_BEA'!B42+'2_HH_purchases_by_BEA'!B42+'3_Intl_purchases_by_BEA'!B42+'4_DomInd_purchases_by_BEA'!B42</f>
      </c>
    </row>
    <row r="43">
      <c r="A43" t="str">
        <f>'1_Gov_purchases_by_BEA'!A43</f>
      </c>
      <c r="B43" t="str">
        <f>'1_Gov_purchases_by_BEA'!B43+'2_HH_purchases_by_BEA'!B43+'3_Intl_purchases_by_BEA'!B43+'4_DomInd_purchases_by_BEA'!B43</f>
      </c>
    </row>
    <row r="44">
      <c r="A44" t="str">
        <f>'1_Gov_purchases_by_BEA'!A44</f>
      </c>
      <c r="B44" t="str">
        <f>'1_Gov_purchases_by_BEA'!B44+'2_HH_purchases_by_BEA'!B44+'3_Intl_purchases_by_BEA'!B44+'4_DomInd_purchases_by_BEA'!B44</f>
      </c>
    </row>
    <row r="45">
      <c r="A45" t="str">
        <f>'1_Gov_purchases_by_BEA'!A45</f>
      </c>
      <c r="B45" t="str">
        <f>'1_Gov_purchases_by_BEA'!B45+'2_HH_purchases_by_BEA'!B45+'3_Intl_purchases_by_BEA'!B45+'4_DomInd_purchases_by_BEA'!B45</f>
      </c>
    </row>
    <row r="46">
      <c r="A46" t="str">
        <f>'1_Gov_purchases_by_BEA'!A46</f>
      </c>
      <c r="B46" t="str">
        <f>'1_Gov_purchases_by_BEA'!B46+'2_HH_purchases_by_BEA'!B46+'3_Intl_purchases_by_BEA'!B46+'4_DomInd_purchases_by_BEA'!B46</f>
      </c>
    </row>
    <row r="47">
      <c r="A47" t="str">
        <f>'1_Gov_purchases_by_BEA'!A47</f>
      </c>
      <c r="B47" t="str">
        <f>'1_Gov_purchases_by_BEA'!B47+'2_HH_purchases_by_BEA'!B47+'3_Intl_purchases_by_BEA'!B47+'4_DomInd_purchases_by_BEA'!B47</f>
      </c>
    </row>
    <row r="48">
      <c r="A48" t="str">
        <f>'1_Gov_purchases_by_BEA'!A48</f>
      </c>
      <c r="B48" t="str">
        <f>'1_Gov_purchases_by_BEA'!B48+'2_HH_purchases_by_BEA'!B48+'3_Intl_purchases_by_BEA'!B48+'4_DomInd_purchases_by_BEA'!B48</f>
      </c>
    </row>
    <row r="49">
      <c r="A49" t="str">
        <f>'1_Gov_purchases_by_BEA'!A49</f>
      </c>
      <c r="B49" t="str">
        <f>'1_Gov_purchases_by_BEA'!B49+'2_HH_purchases_by_BEA'!B49+'3_Intl_purchases_by_BEA'!B49+'4_DomInd_purchases_by_BEA'!B49</f>
      </c>
    </row>
    <row r="50">
      <c r="A50" t="str">
        <f>'1_Gov_purchases_by_BEA'!A50</f>
      </c>
      <c r="B50" t="str">
        <f>'1_Gov_purchases_by_BEA'!B50+'2_HH_purchases_by_BEA'!B50+'3_Intl_purchases_by_BEA'!B50+'4_DomInd_purchases_by_BEA'!B50</f>
      </c>
    </row>
    <row r="51">
      <c r="A51" t="str">
        <f>'1_Gov_purchases_by_BEA'!A51</f>
      </c>
      <c r="B51" t="str">
        <f>'1_Gov_purchases_by_BEA'!B51+'2_HH_purchases_by_BEA'!B51+'3_Intl_purchases_by_BEA'!B51+'4_DomInd_purchases_by_BEA'!B51</f>
      </c>
    </row>
    <row r="52">
      <c r="A52" t="str">
        <f>'1_Gov_purchases_by_BEA'!A52</f>
      </c>
      <c r="B52" t="str">
        <f>'1_Gov_purchases_by_BEA'!B52+'2_HH_purchases_by_BEA'!B52+'3_Intl_purchases_by_BEA'!B52+'4_DomInd_purchases_by_BEA'!B52</f>
      </c>
    </row>
    <row r="53">
      <c r="A53" t="str">
        <f>'1_Gov_purchases_by_BEA'!A53</f>
      </c>
      <c r="B53" t="str">
        <f>'1_Gov_purchases_by_BEA'!B53+'2_HH_purchases_by_BEA'!B53+'3_Intl_purchases_by_BEA'!B53+'4_DomInd_purchases_by_BEA'!B53</f>
      </c>
    </row>
    <row r="54">
      <c r="A54" t="str">
        <f>'1_Gov_purchases_by_BEA'!A54</f>
      </c>
      <c r="B54" t="str">
        <f>'1_Gov_purchases_by_BEA'!B54+'2_HH_purchases_by_BEA'!B54+'3_Intl_purchases_by_BEA'!B54+'4_DomInd_purchases_by_BEA'!B54</f>
      </c>
    </row>
    <row r="55">
      <c r="A55" t="str">
        <f>'1_Gov_purchases_by_BEA'!A55</f>
      </c>
      <c r="B55" t="str">
        <f>'1_Gov_purchases_by_BEA'!B55+'2_HH_purchases_by_BEA'!B55+'3_Intl_purchases_by_BEA'!B55+'4_DomInd_purchases_by_BEA'!B55</f>
      </c>
    </row>
    <row r="56">
      <c r="A56" t="str">
        <f>'1_Gov_purchases_by_BEA'!A56</f>
      </c>
      <c r="B56" t="str">
        <f>'1_Gov_purchases_by_BEA'!B56+'2_HH_purchases_by_BEA'!B56+'3_Intl_purchases_by_BEA'!B56+'4_DomInd_purchases_by_BEA'!B56</f>
      </c>
    </row>
    <row r="57">
      <c r="A57" t="str">
        <f>'1_Gov_purchases_by_BEA'!A57</f>
      </c>
      <c r="B57" t="str">
        <f>'1_Gov_purchases_by_BEA'!B57+'2_HH_purchases_by_BEA'!B57+'3_Intl_purchases_by_BEA'!B57+'4_DomInd_purchases_by_BEA'!B57</f>
      </c>
    </row>
    <row r="58">
      <c r="A58" t="str">
        <f>'1_Gov_purchases_by_BEA'!A58</f>
      </c>
      <c r="B58" t="str">
        <f>'1_Gov_purchases_by_BEA'!B58+'2_HH_purchases_by_BEA'!B58+'3_Intl_purchases_by_BEA'!B58+'4_DomInd_purchases_by_BEA'!B58</f>
      </c>
    </row>
    <row r="59">
      <c r="A59" t="str">
        <f>'1_Gov_purchases_by_BEA'!A59</f>
      </c>
      <c r="B59" t="str">
        <f>'1_Gov_purchases_by_BEA'!B59+'2_HH_purchases_by_BEA'!B59+'3_Intl_purchases_by_BEA'!B59+'4_DomInd_purchases_by_BEA'!B59</f>
      </c>
    </row>
    <row r="60">
      <c r="A60" t="str">
        <f>'1_Gov_purchases_by_BEA'!A60</f>
      </c>
      <c r="B60" t="str">
        <f>'1_Gov_purchases_by_BEA'!B60+'2_HH_purchases_by_BEA'!B60+'3_Intl_purchases_by_BEA'!B60+'4_DomInd_purchases_by_BEA'!B60</f>
      </c>
    </row>
    <row r="61">
      <c r="A61" t="str">
        <f>'1_Gov_purchases_by_BEA'!A61</f>
      </c>
      <c r="B61" t="str">
        <f>'1_Gov_purchases_by_BEA'!B61+'2_HH_purchases_by_BEA'!B61+'3_Intl_purchases_by_BEA'!B61+'4_DomInd_purchases_by_BEA'!B61</f>
      </c>
    </row>
    <row r="62">
      <c r="A62" t="str">
        <f>'1_Gov_purchases_by_BEA'!A62</f>
      </c>
      <c r="B62" t="str">
        <f>'1_Gov_purchases_by_BEA'!B62+'2_HH_purchases_by_BEA'!B62+'3_Intl_purchases_by_BEA'!B62+'4_DomInd_purchases_by_BEA'!B62</f>
      </c>
    </row>
    <row r="63">
      <c r="A63" t="str">
        <f>'1_Gov_purchases_by_BEA'!A63</f>
      </c>
      <c r="B63" t="str">
        <f>'1_Gov_purchases_by_BEA'!B63+'2_HH_purchases_by_BEA'!B63+'3_Intl_purchases_by_BEA'!B63+'4_DomInd_purchases_by_BEA'!B63</f>
      </c>
    </row>
    <row r="64">
      <c r="A64" t="str">
        <f>'1_Gov_purchases_by_BEA'!A64</f>
      </c>
      <c r="B64" t="str">
        <f>'1_Gov_purchases_by_BEA'!B64+'2_HH_purchases_by_BEA'!B64+'3_Intl_purchases_by_BEA'!B64+'4_DomInd_purchases_by_BEA'!B64</f>
      </c>
    </row>
    <row r="65">
      <c r="A65" t="str">
        <f>'1_Gov_purchases_by_BEA'!A65</f>
      </c>
      <c r="B65" t="str">
        <f>'1_Gov_purchases_by_BEA'!B65+'2_HH_purchases_by_BEA'!B65+'3_Intl_purchases_by_BEA'!B65+'4_DomInd_purchases_by_BEA'!B65</f>
      </c>
    </row>
    <row r="66">
      <c r="A66" t="str">
        <f>'1_Gov_purchases_by_BEA'!A66</f>
      </c>
      <c r="B66" t="str">
        <f>'1_Gov_purchases_by_BEA'!B66+'2_HH_purchases_by_BEA'!B66+'3_Intl_purchases_by_BEA'!B66+'4_DomInd_purchases_by_BEA'!B66</f>
      </c>
    </row>
    <row r="67">
      <c r="A67" t="str">
        <f>'1_Gov_purchases_by_BEA'!A67</f>
      </c>
      <c r="B67" t="str">
        <f>'1_Gov_purchases_by_BEA'!B67+'2_HH_purchases_by_BEA'!B67+'3_Intl_purchases_by_BEA'!B67+'4_DomInd_purchases_by_BEA'!B67</f>
      </c>
    </row>
    <row r="68">
      <c r="A68" t="str">
        <f>'1_Gov_purchases_by_BEA'!A68</f>
      </c>
      <c r="B68" t="str">
        <f>'1_Gov_purchases_by_BEA'!B68+'2_HH_purchases_by_BEA'!B68+'3_Intl_purchases_by_BEA'!B68+'4_DomInd_purchases_by_BEA'!B68</f>
      </c>
    </row>
    <row r="69">
      <c r="A69" t="str">
        <f>'1_Gov_purchases_by_BEA'!A69</f>
      </c>
      <c r="B69" t="str">
        <f>'1_Gov_purchases_by_BEA'!B69+'2_HH_purchases_by_BEA'!B69+'3_Intl_purchases_by_BEA'!B69+'4_DomInd_purchases_by_BEA'!B69</f>
      </c>
    </row>
    <row r="70">
      <c r="A70" t="str">
        <f>'1_Gov_purchases_by_BEA'!A70</f>
      </c>
      <c r="B70" t="str">
        <f>'1_Gov_purchases_by_BEA'!B70+'2_HH_purchases_by_BEA'!B70+'3_Intl_purchases_by_BEA'!B70+'4_DomInd_purchases_by_BEA'!B70</f>
      </c>
    </row>
    <row r="71">
      <c r="A71" t="str">
        <f>'1_Gov_purchases_by_BEA'!A71</f>
      </c>
      <c r="B71" t="str">
        <f>'1_Gov_purchases_by_BEA'!B71+'2_HH_purchases_by_BEA'!B71+'3_Intl_purchases_by_BEA'!B71+'4_DomInd_purchases_by_BEA'!B71</f>
      </c>
    </row>
    <row r="72">
      <c r="A72" t="str">
        <f>'1_Gov_purchases_by_BEA'!A72</f>
      </c>
      <c r="B72" t="str">
        <f>'1_Gov_purchases_by_BEA'!B72+'2_HH_purchases_by_BEA'!B72+'3_Intl_purchases_by_BEA'!B72+'4_DomInd_purchases_by_BEA'!B72</f>
      </c>
    </row>
    <row r="73">
      <c r="A73" t="str">
        <f>'1_Gov_purchases_by_BEA'!A73</f>
      </c>
      <c r="B73" t="str">
        <f>'1_Gov_purchases_by_BEA'!B73+'2_HH_purchases_by_BEA'!B73+'3_Intl_purchases_by_BEA'!B73+'4_DomInd_purchases_by_BEA'!B73</f>
      </c>
    </row>
    <row r="74">
      <c r="A74" t="str">
        <f>'1_Gov_purchases_by_BEA'!A74</f>
      </c>
      <c r="B74" t="str">
        <f>'1_Gov_purchases_by_BEA'!B74+'2_HH_purchases_by_BEA'!B74+'3_Intl_purchases_by_BEA'!B74+'4_DomInd_purchases_by_BEA'!B74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182</v>
      </c>
      <c r="B1" t="s">
        <v>183</v>
      </c>
    </row>
    <row r="2">
      <c r="A2" t="s">
        <v>184</v>
      </c>
      <c r="B2" t="n">
        <v>13435322136.1506</v>
      </c>
    </row>
    <row r="3">
      <c r="A3" t="s">
        <v>185</v>
      </c>
      <c r="B3" t="n">
        <v>19256129123.6482</v>
      </c>
    </row>
    <row r="4">
      <c r="A4" t="s">
        <v>186</v>
      </c>
      <c r="B4" t="n">
        <v>19382951907.5827</v>
      </c>
    </row>
    <row r="5">
      <c r="A5" t="s">
        <v>187</v>
      </c>
      <c r="B5" t="n">
        <v>67952538155.4308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188</v>
      </c>
      <c r="B1" t="s">
        <v>189</v>
      </c>
    </row>
    <row r="2">
      <c r="A2" t="s">
        <v>190</v>
      </c>
      <c r="B2" t="n">
        <v>3392668605.0702</v>
      </c>
    </row>
    <row r="3">
      <c r="A3" t="s">
        <v>191</v>
      </c>
      <c r="B3" t="n">
        <v>0</v>
      </c>
    </row>
    <row r="4">
      <c r="A4" t="s">
        <v>192</v>
      </c>
      <c r="B4" t="n">
        <v>946849540.905348</v>
      </c>
    </row>
    <row r="5">
      <c r="A5" t="s">
        <v>193</v>
      </c>
      <c r="B5" t="n">
        <v>974221848.953295</v>
      </c>
    </row>
    <row r="6">
      <c r="A6" t="s">
        <v>194</v>
      </c>
      <c r="B6" t="n">
        <v>14201757.646694</v>
      </c>
    </row>
    <row r="7">
      <c r="A7" t="s">
        <v>195</v>
      </c>
      <c r="B7" t="n">
        <v>4133376669.63743</v>
      </c>
    </row>
    <row r="8">
      <c r="A8" t="s">
        <v>196</v>
      </c>
      <c r="B8" t="n">
        <v>1749733114.73983</v>
      </c>
    </row>
    <row r="9">
      <c r="A9" t="s">
        <v>197</v>
      </c>
      <c r="B9" t="n">
        <v>1918624669.27591</v>
      </c>
    </row>
    <row r="10">
      <c r="A10" t="s">
        <v>198</v>
      </c>
      <c r="B10" t="n">
        <v>4370391659.85149</v>
      </c>
    </row>
    <row r="11">
      <c r="A11" t="s">
        <v>199</v>
      </c>
      <c r="B11" t="n">
        <v>4027116825.18583</v>
      </c>
    </row>
    <row r="12">
      <c r="A12" t="s">
        <v>200</v>
      </c>
      <c r="B12" t="n">
        <v>7215871682.11378</v>
      </c>
    </row>
    <row r="13">
      <c r="A13" t="s">
        <v>201</v>
      </c>
      <c r="B13" t="n">
        <v>2405290560.70459</v>
      </c>
    </row>
    <row r="14">
      <c r="A14" t="s">
        <v>110</v>
      </c>
      <c r="B14" t="n">
        <v>4205024110.29572</v>
      </c>
    </row>
    <row r="15">
      <c r="A15" t="s">
        <v>202</v>
      </c>
      <c r="B15" t="n">
        <v>211230140.741505</v>
      </c>
    </row>
    <row r="16">
      <c r="A16" t="s">
        <v>203</v>
      </c>
      <c r="B16" t="n">
        <v>1901071266.67354</v>
      </c>
    </row>
    <row r="17">
      <c r="A17" t="s">
        <v>204</v>
      </c>
      <c r="B17" t="n">
        <v>3369783339.8413</v>
      </c>
    </row>
    <row r="18">
      <c r="A18" t="s">
        <v>205</v>
      </c>
      <c r="B18" t="n">
        <v>2623378876.23188</v>
      </c>
    </row>
    <row r="19">
      <c r="A19" t="s">
        <v>206</v>
      </c>
      <c r="B19" t="n">
        <v>6104402529.62775</v>
      </c>
    </row>
    <row r="20">
      <c r="A20" t="s">
        <v>207</v>
      </c>
      <c r="B20" t="n">
        <v>2772159947.96</v>
      </c>
    </row>
    <row r="21">
      <c r="A21" t="s">
        <v>208</v>
      </c>
      <c r="B21" t="n">
        <v>1970994348.72142</v>
      </c>
    </row>
    <row r="22">
      <c r="A22" t="s">
        <v>209</v>
      </c>
      <c r="B22" t="n">
        <v>3381136770.94053</v>
      </c>
    </row>
    <row r="23">
      <c r="A23" t="s">
        <v>210</v>
      </c>
      <c r="B23" t="n">
        <v>8327911966.53014</v>
      </c>
    </row>
    <row r="24">
      <c r="A24" t="s">
        <v>211</v>
      </c>
      <c r="B24" t="n">
        <v>1510491197.17356</v>
      </c>
    </row>
    <row r="25">
      <c r="A25" t="s">
        <v>212</v>
      </c>
      <c r="B25" t="n">
        <v>1272685163.83916</v>
      </c>
    </row>
    <row r="26">
      <c r="A26" t="s">
        <v>213</v>
      </c>
      <c r="B26" t="n">
        <v>3601292534.9989</v>
      </c>
    </row>
    <row r="27">
      <c r="A27" t="s">
        <v>214</v>
      </c>
      <c r="B27" t="n">
        <v>1302678999.6958</v>
      </c>
    </row>
    <row r="28">
      <c r="A28" t="s">
        <v>215</v>
      </c>
      <c r="B28" t="n">
        <v>1831715616.94137</v>
      </c>
    </row>
    <row r="29">
      <c r="A29" t="s">
        <v>216</v>
      </c>
      <c r="B29" t="n">
        <v>3695795785.26788</v>
      </c>
    </row>
    <row r="30">
      <c r="A30" t="s">
        <v>217</v>
      </c>
      <c r="B30" t="n">
        <v>16825311833.1757</v>
      </c>
    </row>
    <row r="31">
      <c r="A31" t="s">
        <v>218</v>
      </c>
      <c r="B31" t="n">
        <v>10666930938.3928</v>
      </c>
    </row>
    <row r="32">
      <c r="A32" t="s">
        <v>219</v>
      </c>
      <c r="B32" t="n">
        <v>3103157523.70097</v>
      </c>
    </row>
    <row r="33">
      <c r="A33" t="s">
        <v>220</v>
      </c>
      <c r="B33" t="n">
        <v>2308343006.53091</v>
      </c>
    </row>
    <row r="34">
      <c r="A34" t="s">
        <v>161</v>
      </c>
      <c r="B34" t="n">
        <v>3037093246.79757</v>
      </c>
    </row>
    <row r="35">
      <c r="A35" t="s">
        <v>221</v>
      </c>
      <c r="B35" t="n">
        <v>5466974605.12552</v>
      </c>
    </row>
    <row r="36">
      <c r="A36" t="s">
        <v>222</v>
      </c>
      <c r="B36" t="n">
        <v>16570982797.2725</v>
      </c>
    </row>
    <row r="37">
      <c r="A37" t="s">
        <v>223</v>
      </c>
      <c r="B37" t="n">
        <v>13356909237.5318</v>
      </c>
    </row>
    <row r="38">
      <c r="A38" t="s">
        <v>224</v>
      </c>
      <c r="B38" t="n">
        <v>36929380065.6057</v>
      </c>
    </row>
    <row r="39">
      <c r="A39" t="s">
        <v>225</v>
      </c>
      <c r="B39" t="n">
        <v>1176595027.51707</v>
      </c>
    </row>
    <row r="40">
      <c r="A40" t="s">
        <v>226</v>
      </c>
      <c r="B40" t="n">
        <v>268152221.316706</v>
      </c>
    </row>
    <row r="41">
      <c r="A41" t="s">
        <v>227</v>
      </c>
      <c r="B41" t="n">
        <v>492407067.943212</v>
      </c>
    </row>
    <row r="42">
      <c r="A42" t="s">
        <v>228</v>
      </c>
      <c r="B42" t="n">
        <v>4231276036.8559</v>
      </c>
    </row>
    <row r="43">
      <c r="A43" t="s">
        <v>229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1</v>
      </c>
    </row>
    <row r="9">
      <c r="A9" t="s">
        <v>236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  <c r="AP9" t="s">
        <v>145</v>
      </c>
      <c r="AQ9" t="s">
        <v>146</v>
      </c>
      <c r="AR9" t="s">
        <v>147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154</v>
      </c>
      <c r="AZ9" t="s">
        <v>155</v>
      </c>
      <c r="BA9" t="s">
        <v>156</v>
      </c>
      <c r="BB9" t="s">
        <v>157</v>
      </c>
      <c r="BC9" t="s">
        <v>158</v>
      </c>
      <c r="BD9" t="s">
        <v>159</v>
      </c>
      <c r="BE9" t="s">
        <v>160</v>
      </c>
      <c r="BF9" t="s">
        <v>161</v>
      </c>
      <c r="BG9" t="s">
        <v>162</v>
      </c>
      <c r="BH9" t="s">
        <v>163</v>
      </c>
      <c r="BI9" t="s">
        <v>164</v>
      </c>
      <c r="BJ9" t="s">
        <v>165</v>
      </c>
      <c r="BK9" t="s">
        <v>166</v>
      </c>
      <c r="BL9" t="s">
        <v>167</v>
      </c>
      <c r="BM9" t="s">
        <v>168</v>
      </c>
      <c r="BN9" t="s">
        <v>169</v>
      </c>
      <c r="BO9" t="s">
        <v>170</v>
      </c>
      <c r="BP9" t="s">
        <v>171</v>
      </c>
      <c r="BQ9" t="s">
        <v>172</v>
      </c>
      <c r="BR9" t="s">
        <v>173</v>
      </c>
      <c r="BS9" t="s">
        <v>174</v>
      </c>
      <c r="BT9" t="s">
        <v>175</v>
      </c>
      <c r="BU9" t="s">
        <v>237</v>
      </c>
      <c r="BV9" t="s">
        <v>238</v>
      </c>
      <c r="BW9" t="s">
        <v>239</v>
      </c>
      <c r="BX9" t="s">
        <v>240</v>
      </c>
      <c r="BY9" t="s">
        <v>241</v>
      </c>
      <c r="BZ9" t="s">
        <v>242</v>
      </c>
      <c r="CA9" t="s">
        <v>243</v>
      </c>
      <c r="CB9" t="s">
        <v>244</v>
      </c>
      <c r="CC9" t="s">
        <v>245</v>
      </c>
      <c r="CD9" t="s">
        <v>246</v>
      </c>
      <c r="CE9" t="s">
        <v>247</v>
      </c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 t="s">
        <v>254</v>
      </c>
      <c r="CM9" t="s">
        <v>255</v>
      </c>
      <c r="CN9" t="s">
        <v>256</v>
      </c>
    </row>
    <row r="10">
      <c r="A10" t="s">
        <v>105</v>
      </c>
      <c r="B10" t="n">
        <v>103692023.641513</v>
      </c>
      <c r="C10" t="n">
        <v>1229236.27265783</v>
      </c>
      <c r="D10" t="n">
        <v>0</v>
      </c>
      <c r="E10" t="n">
        <v>51767.5758838185</v>
      </c>
      <c r="F10" t="n">
        <v>3522.83727425393</v>
      </c>
      <c r="G10" t="n">
        <v>0</v>
      </c>
      <c r="H10" t="n">
        <v>5677739.72193888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849835.617922889</v>
      </c>
      <c r="T10" t="n">
        <v>499332681.620967</v>
      </c>
      <c r="U10" t="n">
        <v>35687170.816833</v>
      </c>
      <c r="V10" t="n">
        <v>0</v>
      </c>
      <c r="W10" t="n">
        <v>0</v>
      </c>
      <c r="X10" t="n">
        <v>0</v>
      </c>
      <c r="Y10" t="n">
        <v>0</v>
      </c>
      <c r="Z10" t="n">
        <v>45994192.4107604</v>
      </c>
      <c r="AA10" t="n">
        <v>0</v>
      </c>
      <c r="AB10" t="n">
        <v>2367647.57622049</v>
      </c>
      <c r="AC10" t="n">
        <v>2952227.49683869</v>
      </c>
      <c r="AD10" t="n">
        <v>3715414.28672047</v>
      </c>
      <c r="AE10" t="n">
        <v>740889.667683211</v>
      </c>
      <c r="AF10" t="n">
        <v>1439248.13505161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143478.978670572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1590.69860605689</v>
      </c>
      <c r="AT10" t="n">
        <v>0</v>
      </c>
      <c r="AU10" t="n">
        <v>0</v>
      </c>
      <c r="AV10" t="n">
        <v>0</v>
      </c>
      <c r="AW10" t="n">
        <v>0</v>
      </c>
      <c r="AX10" t="n">
        <v>9442.56716854671</v>
      </c>
      <c r="AY10" t="n">
        <v>0</v>
      </c>
      <c r="AZ10" t="n">
        <v>2368.64361527923</v>
      </c>
      <c r="BA10" t="n">
        <v>0</v>
      </c>
      <c r="BB10" t="n">
        <v>2843092.7825016</v>
      </c>
      <c r="BC10" t="n">
        <v>46890.3542135633</v>
      </c>
      <c r="BD10" t="n">
        <v>7687541.03196071</v>
      </c>
      <c r="BE10" t="n">
        <v>0</v>
      </c>
      <c r="BF10" t="n">
        <v>564208.98184308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2317993.21529911</v>
      </c>
      <c r="BM10" t="n">
        <v>315879.028875549</v>
      </c>
      <c r="BN10" t="n">
        <v>45026008.41008</v>
      </c>
      <c r="BO10" t="n">
        <v>72580.7008120367</v>
      </c>
      <c r="BP10" t="n">
        <v>91825.2988311003</v>
      </c>
      <c r="BQ10" t="n">
        <v>-487.464854725404</v>
      </c>
      <c r="BR10" t="n">
        <v>0</v>
      </c>
      <c r="BS10" t="n">
        <v>20799755.8311207</v>
      </c>
      <c r="BT10" t="n">
        <v>0</v>
      </c>
      <c r="BU10" t="n">
        <v>565028041.075872</v>
      </c>
      <c r="BV10" t="n">
        <v>0</v>
      </c>
      <c r="BW10" t="n">
        <v>0</v>
      </c>
      <c r="BX10" t="n">
        <v>0</v>
      </c>
      <c r="BY10" t="n">
        <v>0</v>
      </c>
      <c r="BZ10" t="n">
        <v>-64359436.9758045</v>
      </c>
      <c r="CA10" t="n">
        <v>144463214.955092</v>
      </c>
      <c r="CB10" t="n">
        <v>-532089936.307616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106</v>
      </c>
      <c r="B11" t="n">
        <v>35765981.9734279</v>
      </c>
      <c r="C11" t="n">
        <v>18625740.4826242</v>
      </c>
      <c r="D11" t="n">
        <v>0</v>
      </c>
      <c r="E11" t="n">
        <v>265446.461805268</v>
      </c>
      <c r="F11" t="n">
        <v>0</v>
      </c>
      <c r="G11" t="n">
        <v>0</v>
      </c>
      <c r="H11" t="n">
        <v>0</v>
      </c>
      <c r="I11" t="n">
        <v>75223853.666438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978839.430586969</v>
      </c>
      <c r="S11" t="n">
        <v>1820563.07964573</v>
      </c>
      <c r="T11" t="n">
        <v>56504557.2235835</v>
      </c>
      <c r="U11" t="n">
        <v>0</v>
      </c>
      <c r="V11" t="n">
        <v>410612.564488759</v>
      </c>
      <c r="W11" t="n">
        <v>37855545.589246</v>
      </c>
      <c r="X11" t="n">
        <v>194539.64338695</v>
      </c>
      <c r="Y11" t="n">
        <v>0</v>
      </c>
      <c r="Z11" t="n">
        <v>3087805.76845161</v>
      </c>
      <c r="AA11" t="n">
        <v>58104166.7039565</v>
      </c>
      <c r="AB11" t="n">
        <v>0</v>
      </c>
      <c r="AC11" t="n">
        <v>0</v>
      </c>
      <c r="AD11" t="n">
        <v>8671459.04063431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11187.8788720463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1017356.13514336</v>
      </c>
      <c r="BC11" t="n">
        <v>50460.2893046574</v>
      </c>
      <c r="BD11" t="n">
        <v>27340.3680981595</v>
      </c>
      <c r="BE11" t="n">
        <v>0</v>
      </c>
      <c r="BF11" t="n">
        <v>307451.642173092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1968451.12754243</v>
      </c>
      <c r="BM11" t="n">
        <v>5789251.5554484</v>
      </c>
      <c r="BN11" t="n">
        <v>64424760.9008417</v>
      </c>
      <c r="BO11" t="n">
        <v>917833.385249265</v>
      </c>
      <c r="BP11" t="n">
        <v>0</v>
      </c>
      <c r="BQ11" t="n">
        <v>140203.585114273</v>
      </c>
      <c r="BR11" t="n">
        <v>122908.245123491</v>
      </c>
      <c r="BS11" t="n">
        <v>29525428.0028379</v>
      </c>
      <c r="BT11" t="n">
        <v>0</v>
      </c>
      <c r="BU11" t="n">
        <v>61129262.0564706</v>
      </c>
      <c r="BV11" t="n">
        <v>0</v>
      </c>
      <c r="BW11" t="n">
        <v>0</v>
      </c>
      <c r="BX11" t="n">
        <v>0</v>
      </c>
      <c r="BY11" t="n">
        <v>0</v>
      </c>
      <c r="BZ11" t="n">
        <v>11773447.9486147</v>
      </c>
      <c r="CA11" t="n">
        <v>34559141.5956962</v>
      </c>
      <c r="CB11" t="n">
        <v>-251397096.72566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107</v>
      </c>
      <c r="B12" t="n">
        <v>0</v>
      </c>
      <c r="C12" t="n">
        <v>0</v>
      </c>
      <c r="D12" t="n">
        <v>2573.66672589809</v>
      </c>
      <c r="E12" t="n">
        <v>0</v>
      </c>
      <c r="F12" t="n">
        <v>2106.40381072206</v>
      </c>
      <c r="G12" t="n">
        <v>24330436.6486956</v>
      </c>
      <c r="H12" t="n">
        <v>0</v>
      </c>
      <c r="I12" t="n">
        <v>21347.4298633263</v>
      </c>
      <c r="J12" t="n">
        <v>82.8236639823481</v>
      </c>
      <c r="K12" t="n">
        <v>233.801484886892</v>
      </c>
      <c r="L12" t="n">
        <v>0</v>
      </c>
      <c r="M12" t="n">
        <v>0</v>
      </c>
      <c r="N12" t="n">
        <v>0</v>
      </c>
      <c r="O12" t="n">
        <v>0</v>
      </c>
      <c r="P12" t="n">
        <v>168.333749049125</v>
      </c>
      <c r="Q12" t="n">
        <v>0</v>
      </c>
      <c r="R12" t="n">
        <v>0</v>
      </c>
      <c r="S12" t="n">
        <v>0</v>
      </c>
      <c r="T12" t="n">
        <v>37.2890485498133</v>
      </c>
      <c r="U12" t="n">
        <v>0</v>
      </c>
      <c r="V12" t="n">
        <v>0</v>
      </c>
      <c r="W12" t="n">
        <v>44105.172522209</v>
      </c>
      <c r="X12" t="n">
        <v>55.6109464914889</v>
      </c>
      <c r="Y12" t="n">
        <v>252639942.105991</v>
      </c>
      <c r="Z12" t="n">
        <v>2765903.5535186</v>
      </c>
      <c r="AA12" t="n">
        <v>0</v>
      </c>
      <c r="AB12" t="n">
        <v>11916.8765603291</v>
      </c>
      <c r="AC12" t="n">
        <v>14845.1574108958</v>
      </c>
      <c r="AD12" t="n">
        <v>0</v>
      </c>
      <c r="AE12" t="n">
        <v>92.9947336422374</v>
      </c>
      <c r="AF12" t="n">
        <v>23321.426923457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1215.79510594845</v>
      </c>
      <c r="AM12" t="n">
        <v>0</v>
      </c>
      <c r="AN12" t="n">
        <v>422775.787515246</v>
      </c>
      <c r="AO12" t="n">
        <v>79320.4909250997</v>
      </c>
      <c r="AP12" t="n">
        <v>0</v>
      </c>
      <c r="AQ12" t="n">
        <v>10581.9630532073</v>
      </c>
      <c r="AR12" t="n">
        <v>14180.6147478774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75244.4273206549</v>
      </c>
      <c r="AY12" t="n">
        <v>0</v>
      </c>
      <c r="AZ12" t="n">
        <v>0</v>
      </c>
      <c r="BA12" t="n">
        <v>30.2828007306307</v>
      </c>
      <c r="BB12" t="n">
        <v>8663.52077677064</v>
      </c>
      <c r="BC12" t="n">
        <v>7491.88372613433</v>
      </c>
      <c r="BD12" t="n">
        <v>0</v>
      </c>
      <c r="BE12" t="n">
        <v>27409.778208657</v>
      </c>
      <c r="BF12" t="n">
        <v>477609.808627717</v>
      </c>
      <c r="BG12" t="n">
        <v>59.2317059095767</v>
      </c>
      <c r="BH12" t="n">
        <v>0</v>
      </c>
      <c r="BI12" t="n">
        <v>57.9929223142344</v>
      </c>
      <c r="BJ12" t="n">
        <v>0</v>
      </c>
      <c r="BK12" t="n">
        <v>0</v>
      </c>
      <c r="BL12" t="n">
        <v>83499.8152146743</v>
      </c>
      <c r="BM12" t="n">
        <v>81.3854399413649</v>
      </c>
      <c r="BN12" t="n">
        <v>66.7109541846721</v>
      </c>
      <c r="BO12" t="n">
        <v>25267.9824387648</v>
      </c>
      <c r="BP12" t="n">
        <v>0</v>
      </c>
      <c r="BQ12" t="n">
        <v>0</v>
      </c>
      <c r="BR12" t="n">
        <v>905865.470180363</v>
      </c>
      <c r="BS12" t="n">
        <v>0</v>
      </c>
      <c r="BT12" t="n">
        <v>12433619.5836809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80546.7460047398</v>
      </c>
      <c r="CA12" t="n">
        <v>1261549.68541129</v>
      </c>
      <c r="CB12" t="n">
        <v>-291341887.886819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108</v>
      </c>
      <c r="B13" t="n">
        <v>1374690.42167394</v>
      </c>
      <c r="C13" t="n">
        <v>0</v>
      </c>
      <c r="D13" t="n">
        <v>18.8603804554692</v>
      </c>
      <c r="E13" t="n">
        <v>13845899.8963352</v>
      </c>
      <c r="F13" t="n">
        <v>25158.6280007581</v>
      </c>
      <c r="G13" t="n">
        <v>19750729.3263476</v>
      </c>
      <c r="H13" t="n">
        <v>49617881.8232849</v>
      </c>
      <c r="I13" t="n">
        <v>35280.7481823282</v>
      </c>
      <c r="J13" t="n">
        <v>42802642.7475825</v>
      </c>
      <c r="K13" t="n">
        <v>40400584.3443306</v>
      </c>
      <c r="L13" t="n">
        <v>2234572.07104817</v>
      </c>
      <c r="M13" t="n">
        <v>709006.149157649</v>
      </c>
      <c r="N13" t="n">
        <v>14878.3585619762</v>
      </c>
      <c r="O13" t="n">
        <v>1668099.81752104</v>
      </c>
      <c r="P13" t="n">
        <v>1279929.38500276</v>
      </c>
      <c r="Q13" t="n">
        <v>286402.279999784</v>
      </c>
      <c r="R13" t="n">
        <v>41944.253966829</v>
      </c>
      <c r="S13" t="n">
        <v>452744.3823668</v>
      </c>
      <c r="T13" t="n">
        <v>3235093.07506945</v>
      </c>
      <c r="U13" t="n">
        <v>741065.787184701</v>
      </c>
      <c r="V13" t="n">
        <v>0</v>
      </c>
      <c r="W13" t="n">
        <v>13261041.84565</v>
      </c>
      <c r="X13" t="n">
        <v>0</v>
      </c>
      <c r="Y13" t="n">
        <v>1387193.96923821</v>
      </c>
      <c r="Z13" t="n">
        <v>25118754.6274792</v>
      </c>
      <c r="AA13" t="n">
        <v>1181156.70204457</v>
      </c>
      <c r="AB13" t="n">
        <v>100512.073926904</v>
      </c>
      <c r="AC13" t="n">
        <v>0</v>
      </c>
      <c r="AD13" t="n">
        <v>0</v>
      </c>
      <c r="AE13" t="n">
        <v>0</v>
      </c>
      <c r="AF13" t="n">
        <v>14004.4874491709</v>
      </c>
      <c r="AG13" t="n">
        <v>0</v>
      </c>
      <c r="AH13" t="n">
        <v>177719.319472323</v>
      </c>
      <c r="AI13" t="n">
        <v>0</v>
      </c>
      <c r="AJ13" t="n">
        <v>16759.9419612491</v>
      </c>
      <c r="AK13" t="n">
        <v>478.52556166187</v>
      </c>
      <c r="AL13" t="n">
        <v>0</v>
      </c>
      <c r="AM13" t="n">
        <v>2344.06030330235</v>
      </c>
      <c r="AN13" t="n">
        <v>7316.70478079507</v>
      </c>
      <c r="AO13" t="n">
        <v>13997.1081422968</v>
      </c>
      <c r="AP13" t="n">
        <v>9457.34862833252</v>
      </c>
      <c r="AQ13" t="n">
        <v>628602.51446905</v>
      </c>
      <c r="AR13" t="n">
        <v>555658.336053263</v>
      </c>
      <c r="AS13" t="n">
        <v>0</v>
      </c>
      <c r="AT13" t="n">
        <v>0</v>
      </c>
      <c r="AU13" t="n">
        <v>0</v>
      </c>
      <c r="AV13" t="n">
        <v>0</v>
      </c>
      <c r="AW13" t="n">
        <v>13460.1145751625</v>
      </c>
      <c r="AX13" t="n">
        <v>0</v>
      </c>
      <c r="AY13" t="n">
        <v>0</v>
      </c>
      <c r="AZ13" t="n">
        <v>0</v>
      </c>
      <c r="BA13" t="n">
        <v>0</v>
      </c>
      <c r="BB13" t="n">
        <v>3465117.23312687</v>
      </c>
      <c r="BC13" t="n">
        <v>54070.9159050406</v>
      </c>
      <c r="BD13" t="n">
        <v>2513555.67935189</v>
      </c>
      <c r="BE13" t="n">
        <v>290207.745424142</v>
      </c>
      <c r="BF13" t="n">
        <v>602999.631333228</v>
      </c>
      <c r="BG13" t="n">
        <v>0</v>
      </c>
      <c r="BH13" t="n">
        <v>22690.9155841985</v>
      </c>
      <c r="BI13" t="n">
        <v>84194.7990901053</v>
      </c>
      <c r="BJ13" t="n">
        <v>240560.684970543</v>
      </c>
      <c r="BK13" t="n">
        <v>252049.270677255</v>
      </c>
      <c r="BL13" t="n">
        <v>1442535.79465375</v>
      </c>
      <c r="BM13" t="n">
        <v>510316.210137425</v>
      </c>
      <c r="BN13" t="n">
        <v>2122003.25273658</v>
      </c>
      <c r="BO13" t="n">
        <v>3144170.90083718</v>
      </c>
      <c r="BP13" t="n">
        <v>0</v>
      </c>
      <c r="BQ13" t="n">
        <v>4954269.71058463</v>
      </c>
      <c r="BR13" t="n">
        <v>0</v>
      </c>
      <c r="BS13" t="n">
        <v>17398220.2891136</v>
      </c>
      <c r="BT13" t="n">
        <v>10163595.7916917</v>
      </c>
      <c r="BU13" t="n">
        <v>846298.0459451</v>
      </c>
      <c r="BV13" t="n">
        <v>0</v>
      </c>
      <c r="BW13" t="n">
        <v>284768.799435726</v>
      </c>
      <c r="BX13" t="n">
        <v>0</v>
      </c>
      <c r="BY13" t="n">
        <v>0</v>
      </c>
      <c r="BZ13" t="n">
        <v>5393404.14024194</v>
      </c>
      <c r="CA13" t="n">
        <v>29495803.4463487</v>
      </c>
      <c r="CB13" t="n">
        <v>-82037111.4961836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109</v>
      </c>
      <c r="B14" t="n">
        <v>0</v>
      </c>
      <c r="C14" t="n">
        <v>0</v>
      </c>
      <c r="D14" t="n">
        <v>19725.7007097126</v>
      </c>
      <c r="E14" t="n">
        <v>9069799.60640605</v>
      </c>
      <c r="F14" t="n">
        <v>2096495.33419814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198296.51581871</v>
      </c>
      <c r="BC14" t="n">
        <v>17822.3509204575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136134911.231379</v>
      </c>
      <c r="BW14" t="n">
        <v>2815210.76343579</v>
      </c>
      <c r="BX14" t="n">
        <v>0</v>
      </c>
      <c r="BY14" t="n">
        <v>0</v>
      </c>
      <c r="BZ14" t="n">
        <v>-6955.18070988574</v>
      </c>
      <c r="CA14" t="n">
        <v>642973.020967187</v>
      </c>
      <c r="CB14" t="n">
        <v>-892177.753684161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110</v>
      </c>
      <c r="B15" t="n">
        <v>10975977.7809483</v>
      </c>
      <c r="C15" t="n">
        <v>132585.966841769</v>
      </c>
      <c r="D15" t="n">
        <v>2070.82562956342</v>
      </c>
      <c r="E15" t="n">
        <v>10526655.2232608</v>
      </c>
      <c r="F15" t="n">
        <v>138220.932210062</v>
      </c>
      <c r="G15" t="n">
        <v>130584751.798869</v>
      </c>
      <c r="H15" t="n">
        <v>32235231.3711021</v>
      </c>
      <c r="I15" t="n">
        <v>9230945.54659527</v>
      </c>
      <c r="J15" t="n">
        <v>17595195.2290747</v>
      </c>
      <c r="K15" t="n">
        <v>21080500.0692177</v>
      </c>
      <c r="L15" t="n">
        <v>22851682.4863762</v>
      </c>
      <c r="M15" t="n">
        <v>13156065.204985</v>
      </c>
      <c r="N15" t="n">
        <v>1644287.31910109</v>
      </c>
      <c r="O15" t="n">
        <v>7578121.92073319</v>
      </c>
      <c r="P15" t="n">
        <v>28767039.5421577</v>
      </c>
      <c r="Q15" t="n">
        <v>8688997.18855402</v>
      </c>
      <c r="R15" t="n">
        <v>2410289.41688742</v>
      </c>
      <c r="S15" t="n">
        <v>2476801.44336803</v>
      </c>
      <c r="T15" t="n">
        <v>18347292.5652419</v>
      </c>
      <c r="U15" t="n">
        <v>20243174.7958874</v>
      </c>
      <c r="V15" t="n">
        <v>103610.944991901</v>
      </c>
      <c r="W15" t="n">
        <v>64510866.4337707</v>
      </c>
      <c r="X15" t="n">
        <v>3672121.5576676</v>
      </c>
      <c r="Y15" t="n">
        <v>3199628.14395326</v>
      </c>
      <c r="Z15" t="n">
        <v>43648488.3514118</v>
      </c>
      <c r="AA15" t="n">
        <v>57218254.7694394</v>
      </c>
      <c r="AB15" t="n">
        <v>46241638.7055155</v>
      </c>
      <c r="AC15" t="n">
        <v>16776976.0304577</v>
      </c>
      <c r="AD15" t="n">
        <v>38312876.5923608</v>
      </c>
      <c r="AE15" t="n">
        <v>40309155.3540838</v>
      </c>
      <c r="AF15" t="n">
        <v>50242069.1708865</v>
      </c>
      <c r="AG15" t="n">
        <v>712449.285232697</v>
      </c>
      <c r="AH15" t="n">
        <v>123047.494546742</v>
      </c>
      <c r="AI15" t="n">
        <v>246231.860140226</v>
      </c>
      <c r="AJ15" t="n">
        <v>15377089.9894007</v>
      </c>
      <c r="AK15" t="n">
        <v>270559.441644569</v>
      </c>
      <c r="AL15" t="n">
        <v>272980.831513811</v>
      </c>
      <c r="AM15" t="n">
        <v>4300549.02284041</v>
      </c>
      <c r="AN15" t="n">
        <v>11458203.3348289</v>
      </c>
      <c r="AO15" t="n">
        <v>870514.682193501</v>
      </c>
      <c r="AP15" t="n">
        <v>328139.236696354</v>
      </c>
      <c r="AQ15" t="n">
        <v>16655573.057063</v>
      </c>
      <c r="AR15" t="n">
        <v>3445423.39883786</v>
      </c>
      <c r="AS15" t="n">
        <v>5419129.4165264</v>
      </c>
      <c r="AT15" t="n">
        <v>1102484.53512083</v>
      </c>
      <c r="AU15" t="n">
        <v>1432819.5285893</v>
      </c>
      <c r="AV15" t="n">
        <v>4023187.14187852</v>
      </c>
      <c r="AW15" t="n">
        <v>669540.650862428</v>
      </c>
      <c r="AX15" t="n">
        <v>69015425.8589773</v>
      </c>
      <c r="AY15" t="n">
        <v>3428684.97019111</v>
      </c>
      <c r="AZ15" t="n">
        <v>1606967.61229398</v>
      </c>
      <c r="BA15" t="n">
        <v>1421235.72882683</v>
      </c>
      <c r="BB15" t="n">
        <v>13102011.9090222</v>
      </c>
      <c r="BC15" t="n">
        <v>10328334.4459991</v>
      </c>
      <c r="BD15" t="n">
        <v>11737332.5250018</v>
      </c>
      <c r="BE15" t="n">
        <v>10338632.6927591</v>
      </c>
      <c r="BF15" t="n">
        <v>9998976.40968841</v>
      </c>
      <c r="BG15" t="n">
        <v>13734775.6211089</v>
      </c>
      <c r="BH15" t="n">
        <v>12864890.2463498</v>
      </c>
      <c r="BI15" t="n">
        <v>11919975.3230899</v>
      </c>
      <c r="BJ15" t="n">
        <v>2628982.12871952</v>
      </c>
      <c r="BK15" t="n">
        <v>1281203.43781606</v>
      </c>
      <c r="BL15" t="n">
        <v>9149361.35386308</v>
      </c>
      <c r="BM15" t="n">
        <v>27393986.7215093</v>
      </c>
      <c r="BN15" t="n">
        <v>72533364.5914553</v>
      </c>
      <c r="BO15" t="n">
        <v>24338356.3409844</v>
      </c>
      <c r="BP15" t="n">
        <v>12202025.7087058</v>
      </c>
      <c r="BQ15" t="n">
        <v>3672502.07928491</v>
      </c>
      <c r="BR15" t="n">
        <v>6977627.10132622</v>
      </c>
      <c r="BS15" t="n">
        <v>95714815.2382822</v>
      </c>
      <c r="BT15" t="n">
        <v>9238690.7435934</v>
      </c>
      <c r="BU15" t="n">
        <v>1003972741.7924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66406183.9139294</v>
      </c>
      <c r="CB15" t="n">
        <v>-28125257.075921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111</v>
      </c>
      <c r="B16" t="n">
        <v>7169028.78446019</v>
      </c>
      <c r="C16" t="n">
        <v>199071.78080255</v>
      </c>
      <c r="D16" t="n">
        <v>173.61713957884</v>
      </c>
      <c r="E16" t="n">
        <v>34060536.8725058</v>
      </c>
      <c r="F16" t="n">
        <v>1922514.56417989</v>
      </c>
      <c r="G16" t="n">
        <v>98814740.5278762</v>
      </c>
      <c r="H16" t="n">
        <v>3922483.96835541</v>
      </c>
      <c r="I16" t="n">
        <v>6630363.35052024</v>
      </c>
      <c r="J16" t="n">
        <v>15567936.921884</v>
      </c>
      <c r="K16" t="n">
        <v>17367667.0354916</v>
      </c>
      <c r="L16" t="n">
        <v>26085061.6263642</v>
      </c>
      <c r="M16" t="n">
        <v>18846224.7598081</v>
      </c>
      <c r="N16" t="n">
        <v>2251095.03069882</v>
      </c>
      <c r="O16" t="n">
        <v>6418382.94001099</v>
      </c>
      <c r="P16" t="n">
        <v>29612112.1449194</v>
      </c>
      <c r="Q16" t="n">
        <v>5087099.25038849</v>
      </c>
      <c r="R16" t="n">
        <v>2078939.57247686</v>
      </c>
      <c r="S16" t="n">
        <v>3417275.33329864</v>
      </c>
      <c r="T16" t="n">
        <v>16241397.1340412</v>
      </c>
      <c r="U16" t="n">
        <v>10149634.2461271</v>
      </c>
      <c r="V16" t="n">
        <v>88512.3196707975</v>
      </c>
      <c r="W16" t="n">
        <v>48471584.6019077</v>
      </c>
      <c r="X16" t="n">
        <v>3774332.72333241</v>
      </c>
      <c r="Y16" t="n">
        <v>17442606.1179037</v>
      </c>
      <c r="Z16" t="n">
        <v>26140038.3701717</v>
      </c>
      <c r="AA16" t="n">
        <v>36955952.1707648</v>
      </c>
      <c r="AB16" t="n">
        <v>45721572.6963157</v>
      </c>
      <c r="AC16" t="n">
        <v>20191406.2565206</v>
      </c>
      <c r="AD16" t="n">
        <v>15914880.557788</v>
      </c>
      <c r="AE16" t="n">
        <v>39481798.3939366</v>
      </c>
      <c r="AF16" t="n">
        <v>43755417.2221552</v>
      </c>
      <c r="AG16" t="n">
        <v>643695.171538704</v>
      </c>
      <c r="AH16" t="n">
        <v>16766080.6304941</v>
      </c>
      <c r="AI16" t="n">
        <v>261047.747921902</v>
      </c>
      <c r="AJ16" t="n">
        <v>7106036.67493358</v>
      </c>
      <c r="AK16" t="n">
        <v>1301844.08127208</v>
      </c>
      <c r="AL16" t="n">
        <v>679200.185047161</v>
      </c>
      <c r="AM16" t="n">
        <v>14119103.1365224</v>
      </c>
      <c r="AN16" t="n">
        <v>15802037.6175549</v>
      </c>
      <c r="AO16" t="n">
        <v>554099.151174483</v>
      </c>
      <c r="AP16" t="n">
        <v>205944.999717654</v>
      </c>
      <c r="AQ16" t="n">
        <v>25108645.8692623</v>
      </c>
      <c r="AR16" t="n">
        <v>3472746.50920562</v>
      </c>
      <c r="AS16" t="n">
        <v>38153264.2695676</v>
      </c>
      <c r="AT16" t="n">
        <v>5851922.73232269</v>
      </c>
      <c r="AU16" t="n">
        <v>7105427.33019004</v>
      </c>
      <c r="AV16" t="n">
        <v>742678.062678063</v>
      </c>
      <c r="AW16" t="n">
        <v>1127373266.97272</v>
      </c>
      <c r="AX16" t="n">
        <v>321691087.988756</v>
      </c>
      <c r="AY16" t="n">
        <v>8891066.77514341</v>
      </c>
      <c r="AZ16" t="n">
        <v>1823909.75422295</v>
      </c>
      <c r="BA16" t="n">
        <v>518627.953263443</v>
      </c>
      <c r="BB16" t="n">
        <v>20561353.0962528</v>
      </c>
      <c r="BC16" t="n">
        <v>6330693.42327815</v>
      </c>
      <c r="BD16" t="n">
        <v>13273748.7116564</v>
      </c>
      <c r="BE16" t="n">
        <v>4010270.39019831</v>
      </c>
      <c r="BF16" t="n">
        <v>14020854.0064156</v>
      </c>
      <c r="BG16" t="n">
        <v>9480363.36762189</v>
      </c>
      <c r="BH16" t="n">
        <v>7713411.76291307</v>
      </c>
      <c r="BI16" t="n">
        <v>8215323.31282155</v>
      </c>
      <c r="BJ16" t="n">
        <v>4753718.75510537</v>
      </c>
      <c r="BK16" t="n">
        <v>1122466.17654385</v>
      </c>
      <c r="BL16" t="n">
        <v>6334508.88651961</v>
      </c>
      <c r="BM16" t="n">
        <v>51536913.4921816</v>
      </c>
      <c r="BN16" t="n">
        <v>34035280.7732638</v>
      </c>
      <c r="BO16" t="n">
        <v>48687113.4883565</v>
      </c>
      <c r="BP16" t="n">
        <v>117977386.724452</v>
      </c>
      <c r="BQ16" t="n">
        <v>5433886.54392859</v>
      </c>
      <c r="BR16" t="n">
        <v>6556807.0177376</v>
      </c>
      <c r="BS16" t="n">
        <v>569217201.198569</v>
      </c>
      <c r="BT16" t="n">
        <v>564582909.634739</v>
      </c>
      <c r="BU16" t="n">
        <v>0</v>
      </c>
      <c r="BV16" t="n">
        <v>7316154061.64174</v>
      </c>
      <c r="BW16" t="n">
        <v>0</v>
      </c>
      <c r="BX16" t="n">
        <v>0</v>
      </c>
      <c r="BY16" t="n">
        <v>9134911523.73564</v>
      </c>
      <c r="BZ16" t="n">
        <v>0</v>
      </c>
      <c r="CA16" t="n">
        <v>1444112.97820913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252282986.253552</v>
      </c>
      <c r="CI16" t="n">
        <v>0</v>
      </c>
      <c r="CJ16" t="n">
        <v>0</v>
      </c>
      <c r="CK16" t="n">
        <v>0</v>
      </c>
      <c r="CL16" t="n">
        <v>4587359400.14501</v>
      </c>
      <c r="CM16" t="n">
        <v>0</v>
      </c>
      <c r="CN16" t="n">
        <v>0</v>
      </c>
    </row>
    <row r="17">
      <c r="A17" t="s">
        <v>112</v>
      </c>
      <c r="B17" t="n">
        <v>1285724.38651661</v>
      </c>
      <c r="C17" t="n">
        <v>277020.710411175</v>
      </c>
      <c r="D17" t="n">
        <v>0</v>
      </c>
      <c r="E17" t="n">
        <v>742624.134309663</v>
      </c>
      <c r="F17" t="n">
        <v>108573.376435101</v>
      </c>
      <c r="G17" t="n">
        <v>39602.2206381814</v>
      </c>
      <c r="H17" t="n">
        <v>317762245.137888</v>
      </c>
      <c r="I17" t="n">
        <v>281251455.800097</v>
      </c>
      <c r="J17" t="n">
        <v>1564658.76400652</v>
      </c>
      <c r="K17" t="n">
        <v>3425399.47450868</v>
      </c>
      <c r="L17" t="n">
        <v>1949865.59100747</v>
      </c>
      <c r="M17" t="n">
        <v>9140004.68041442</v>
      </c>
      <c r="N17" t="n">
        <v>561672.839674724</v>
      </c>
      <c r="O17" t="n">
        <v>11461330.4290177</v>
      </c>
      <c r="P17" t="n">
        <v>56735265.3813328</v>
      </c>
      <c r="Q17" t="n">
        <v>1249153.11696115</v>
      </c>
      <c r="R17" t="n">
        <v>53910305.7223338</v>
      </c>
      <c r="S17" t="n">
        <v>6525809.47626246</v>
      </c>
      <c r="T17" t="n">
        <v>1530665.77193959</v>
      </c>
      <c r="U17" t="n">
        <v>3341923.85881808</v>
      </c>
      <c r="V17" t="n">
        <v>0</v>
      </c>
      <c r="W17" t="n">
        <v>96073868.9968772</v>
      </c>
      <c r="X17" t="n">
        <v>11758.0458670792</v>
      </c>
      <c r="Y17" t="n">
        <v>0</v>
      </c>
      <c r="Z17" t="n">
        <v>1653029.83490203</v>
      </c>
      <c r="AA17" t="n">
        <v>46661324.2432295</v>
      </c>
      <c r="AB17" t="n">
        <v>36444138.0080405</v>
      </c>
      <c r="AC17" t="n">
        <v>1009133.34613833</v>
      </c>
      <c r="AD17" t="n">
        <v>4492592.62484024</v>
      </c>
      <c r="AE17" t="n">
        <v>1460095.62300383</v>
      </c>
      <c r="AF17" t="n">
        <v>5479926.63365333</v>
      </c>
      <c r="AG17" t="n">
        <v>0</v>
      </c>
      <c r="AH17" t="n">
        <v>8047508.42701764</v>
      </c>
      <c r="AI17" t="n">
        <v>0</v>
      </c>
      <c r="AJ17" t="n">
        <v>1101746.31803292</v>
      </c>
      <c r="AK17" t="n">
        <v>0</v>
      </c>
      <c r="AL17" t="n">
        <v>3966.92619626683</v>
      </c>
      <c r="AM17" t="n">
        <v>302611.030324712</v>
      </c>
      <c r="AN17" t="n">
        <v>1225199.57311909</v>
      </c>
      <c r="AO17" t="n">
        <v>84703.1290966803</v>
      </c>
      <c r="AP17" t="n">
        <v>116993.061201093</v>
      </c>
      <c r="AQ17" t="n">
        <v>4126625.58913181</v>
      </c>
      <c r="AR17" t="n">
        <v>2133661.15711607</v>
      </c>
      <c r="AS17" t="n">
        <v>951404.557864508</v>
      </c>
      <c r="AT17" t="n">
        <v>12739.4669362063</v>
      </c>
      <c r="AU17" t="n">
        <v>0</v>
      </c>
      <c r="AV17" t="n">
        <v>0</v>
      </c>
      <c r="AW17" t="n">
        <v>158769.52789663</v>
      </c>
      <c r="AX17" t="n">
        <v>28215777.5937598</v>
      </c>
      <c r="AY17" t="n">
        <v>2178015.57575059</v>
      </c>
      <c r="AZ17" t="n">
        <v>76460.969846679</v>
      </c>
      <c r="BA17" t="n">
        <v>141710.256641013</v>
      </c>
      <c r="BB17" t="n">
        <v>3680441.97635231</v>
      </c>
      <c r="BC17" t="n">
        <v>17212.8798820665</v>
      </c>
      <c r="BD17" t="n">
        <v>7158546.02363465</v>
      </c>
      <c r="BE17" t="n">
        <v>480041.624885023</v>
      </c>
      <c r="BF17" t="n">
        <v>142378.954830768</v>
      </c>
      <c r="BG17" t="n">
        <v>2663144.88000543</v>
      </c>
      <c r="BH17" t="n">
        <v>1656727.82568482</v>
      </c>
      <c r="BI17" t="n">
        <v>35012.1862773299</v>
      </c>
      <c r="BJ17" t="n">
        <v>2547075.76659511</v>
      </c>
      <c r="BK17" t="n">
        <v>17053.9299687682</v>
      </c>
      <c r="BL17" t="n">
        <v>910663.991149775</v>
      </c>
      <c r="BM17" t="n">
        <v>9500058.58414288</v>
      </c>
      <c r="BN17" t="n">
        <v>6656256.2247839</v>
      </c>
      <c r="BO17" t="n">
        <v>2630211.05836374</v>
      </c>
      <c r="BP17" t="n">
        <v>181886.191159596</v>
      </c>
      <c r="BQ17" t="n">
        <v>217296.576105759</v>
      </c>
      <c r="BR17" t="n">
        <v>17802.2662149428</v>
      </c>
      <c r="BS17" t="n">
        <v>22552979.621352</v>
      </c>
      <c r="BT17" t="n">
        <v>1620467.12749816</v>
      </c>
      <c r="BU17" t="n">
        <v>39091914.3769483</v>
      </c>
      <c r="BV17" t="n">
        <v>3037717.2887744</v>
      </c>
      <c r="BW17" t="n">
        <v>0</v>
      </c>
      <c r="BX17" t="n">
        <v>0</v>
      </c>
      <c r="BY17" t="n">
        <v>47789789.5438202</v>
      </c>
      <c r="BZ17" t="n">
        <v>9669353.62342273</v>
      </c>
      <c r="CA17" t="n">
        <v>60676159.5912291</v>
      </c>
      <c r="CB17" t="n">
        <v>-341978013.214294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6151.05564911739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113</v>
      </c>
      <c r="B18" t="n">
        <v>47951.7407480262</v>
      </c>
      <c r="C18" t="n">
        <v>314970.195542122</v>
      </c>
      <c r="D18" t="n">
        <v>779.133109786368</v>
      </c>
      <c r="E18" t="n">
        <v>2498690.55961241</v>
      </c>
      <c r="F18" t="n">
        <v>444194.94893697</v>
      </c>
      <c r="G18" t="n">
        <v>541309.063310372</v>
      </c>
      <c r="H18" t="n">
        <v>570853914.931491</v>
      </c>
      <c r="I18" t="n">
        <v>12158939.1213017</v>
      </c>
      <c r="J18" t="n">
        <v>154080496.224481</v>
      </c>
      <c r="K18" t="n">
        <v>20966238.2283364</v>
      </c>
      <c r="L18" t="n">
        <v>19344017.7723099</v>
      </c>
      <c r="M18" t="n">
        <v>22919220.3354685</v>
      </c>
      <c r="N18" t="n">
        <v>824939.336774311</v>
      </c>
      <c r="O18" t="n">
        <v>41229790.1516133</v>
      </c>
      <c r="P18" t="n">
        <v>150742789.142899</v>
      </c>
      <c r="Q18" t="n">
        <v>2266539.03142134</v>
      </c>
      <c r="R18" t="n">
        <v>3487877.53712841</v>
      </c>
      <c r="S18" t="n">
        <v>5192849.51059109</v>
      </c>
      <c r="T18" t="n">
        <v>19371812.5327165</v>
      </c>
      <c r="U18" t="n">
        <v>1668510.17542275</v>
      </c>
      <c r="V18" t="n">
        <v>0</v>
      </c>
      <c r="W18" t="n">
        <v>11480639.519277</v>
      </c>
      <c r="X18" t="n">
        <v>6333.1100284713</v>
      </c>
      <c r="Y18" t="n">
        <v>2016929.0001389</v>
      </c>
      <c r="Z18" t="n">
        <v>11134897.5669415</v>
      </c>
      <c r="AA18" t="n">
        <v>53600799.7862011</v>
      </c>
      <c r="AB18" t="n">
        <v>668483.038290351</v>
      </c>
      <c r="AC18" t="n">
        <v>2035325.3071052</v>
      </c>
      <c r="AD18" t="n">
        <v>530692.576954378</v>
      </c>
      <c r="AE18" t="n">
        <v>3199799.32788926</v>
      </c>
      <c r="AF18" t="n">
        <v>4199285.44584095</v>
      </c>
      <c r="AG18" t="n">
        <v>0</v>
      </c>
      <c r="AH18" t="n">
        <v>61805.5297733292</v>
      </c>
      <c r="AI18" t="n">
        <v>0</v>
      </c>
      <c r="AJ18" t="n">
        <v>1051344.46743994</v>
      </c>
      <c r="AK18" t="n">
        <v>0</v>
      </c>
      <c r="AL18" t="n">
        <v>0</v>
      </c>
      <c r="AM18" t="n">
        <v>93823.7076201648</v>
      </c>
      <c r="AN18" t="n">
        <v>1028911.04517274</v>
      </c>
      <c r="AO18" t="n">
        <v>4233.31174201068</v>
      </c>
      <c r="AP18" t="n">
        <v>1519.53348600465</v>
      </c>
      <c r="AQ18" t="n">
        <v>18308749.8206504</v>
      </c>
      <c r="AR18" t="n">
        <v>1664665.43079548</v>
      </c>
      <c r="AS18" t="n">
        <v>137233.493772373</v>
      </c>
      <c r="AT18" t="n">
        <v>70411.2665384412</v>
      </c>
      <c r="AU18" t="n">
        <v>226137.583526441</v>
      </c>
      <c r="AV18" t="n">
        <v>0</v>
      </c>
      <c r="AW18" t="n">
        <v>811922.239473175</v>
      </c>
      <c r="AX18" t="n">
        <v>289203.450908814</v>
      </c>
      <c r="AY18" t="n">
        <v>3738714.60980114</v>
      </c>
      <c r="AZ18" t="n">
        <v>0</v>
      </c>
      <c r="BA18" t="n">
        <v>656224.988617621</v>
      </c>
      <c r="BB18" t="n">
        <v>24848252.1337552</v>
      </c>
      <c r="BC18" t="n">
        <v>227236.33104183</v>
      </c>
      <c r="BD18" t="n">
        <v>7713581.12603036</v>
      </c>
      <c r="BE18" t="n">
        <v>5490423.57130105</v>
      </c>
      <c r="BF18" t="n">
        <v>364187.540792578</v>
      </c>
      <c r="BG18" t="n">
        <v>17136715.4615843</v>
      </c>
      <c r="BH18" t="n">
        <v>11554962.7278385</v>
      </c>
      <c r="BI18" t="n">
        <v>1101832.73878943</v>
      </c>
      <c r="BJ18" t="n">
        <v>2058761.89468416</v>
      </c>
      <c r="BK18" t="n">
        <v>33296.1904759504</v>
      </c>
      <c r="BL18" t="n">
        <v>880900.456853203</v>
      </c>
      <c r="BM18" t="n">
        <v>1064463.13290837</v>
      </c>
      <c r="BN18" t="n">
        <v>21620558.8613289</v>
      </c>
      <c r="BO18" t="n">
        <v>11589634.4010365</v>
      </c>
      <c r="BP18" t="n">
        <v>555335.119827766</v>
      </c>
      <c r="BQ18" t="n">
        <v>3740517.69312503</v>
      </c>
      <c r="BR18" t="n">
        <v>0</v>
      </c>
      <c r="BS18" t="n">
        <v>19118870.2289406</v>
      </c>
      <c r="BT18" t="n">
        <v>17757126.7742305</v>
      </c>
      <c r="BU18" t="n">
        <v>126780914.457412</v>
      </c>
      <c r="BV18" t="n">
        <v>0</v>
      </c>
      <c r="BW18" t="n">
        <v>0</v>
      </c>
      <c r="BX18" t="n">
        <v>0</v>
      </c>
      <c r="BY18" t="n">
        <v>0</v>
      </c>
      <c r="BZ18" t="n">
        <v>20054589.7039759</v>
      </c>
      <c r="CA18" t="n">
        <v>153905793.866735</v>
      </c>
      <c r="CB18" t="n">
        <v>-419041045.285752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114</v>
      </c>
      <c r="B19" t="n">
        <v>299583.347090111</v>
      </c>
      <c r="C19" t="n">
        <v>0</v>
      </c>
      <c r="D19" t="n">
        <v>2272.36992688506</v>
      </c>
      <c r="E19" t="n">
        <v>2070825.7978231</v>
      </c>
      <c r="F19" t="n">
        <v>222522.000736149</v>
      </c>
      <c r="G19" t="n">
        <v>19390.6827351615</v>
      </c>
      <c r="H19" t="n">
        <v>35108209.9153022</v>
      </c>
      <c r="I19" t="n">
        <v>2794587.17348432</v>
      </c>
      <c r="J19" t="n">
        <v>11631015.2374172</v>
      </c>
      <c r="K19" t="n">
        <v>631077365.388433</v>
      </c>
      <c r="L19" t="n">
        <v>583146142.836051</v>
      </c>
      <c r="M19" t="n">
        <v>321901258.051527</v>
      </c>
      <c r="N19" t="n">
        <v>11152653.7556759</v>
      </c>
      <c r="O19" t="n">
        <v>255739624.812484</v>
      </c>
      <c r="P19" t="n">
        <v>659568032.261594</v>
      </c>
      <c r="Q19" t="n">
        <v>38128889.641097</v>
      </c>
      <c r="R19" t="n">
        <v>22848549.1193879</v>
      </c>
      <c r="S19" t="n">
        <v>28919269.0308667</v>
      </c>
      <c r="T19" t="n">
        <v>8156964.75284212</v>
      </c>
      <c r="U19" t="n">
        <v>2541093.1170852</v>
      </c>
      <c r="V19" t="n">
        <v>0</v>
      </c>
      <c r="W19" t="n">
        <v>20551189.5781544</v>
      </c>
      <c r="X19" t="n">
        <v>73737.024315662</v>
      </c>
      <c r="Y19" t="n">
        <v>16562.2890522875</v>
      </c>
      <c r="Z19" t="n">
        <v>392995.242937119</v>
      </c>
      <c r="AA19" t="n">
        <v>32295537.970861</v>
      </c>
      <c r="AB19" t="n">
        <v>2997979.38004361</v>
      </c>
      <c r="AC19" t="n">
        <v>46112.2688907696</v>
      </c>
      <c r="AD19" t="n">
        <v>0</v>
      </c>
      <c r="AE19" t="n">
        <v>0</v>
      </c>
      <c r="AF19" t="n">
        <v>4088562.68221993</v>
      </c>
      <c r="AG19" t="n">
        <v>0</v>
      </c>
      <c r="AH19" t="n">
        <v>1642977.60276103</v>
      </c>
      <c r="AI19" t="n">
        <v>0</v>
      </c>
      <c r="AJ19" t="n">
        <v>0</v>
      </c>
      <c r="AK19" t="n">
        <v>0</v>
      </c>
      <c r="AL19" t="n">
        <v>0</v>
      </c>
      <c r="AM19" t="n">
        <v>647287.538842603</v>
      </c>
      <c r="AN19" t="n">
        <v>0</v>
      </c>
      <c r="AO19" t="n">
        <v>26342.8871365486</v>
      </c>
      <c r="AP19" t="n">
        <v>14488.3678383136</v>
      </c>
      <c r="AQ19" t="n">
        <v>1935510.8495635</v>
      </c>
      <c r="AR19" t="n">
        <v>1213426.64984133</v>
      </c>
      <c r="AS19" t="n">
        <v>0</v>
      </c>
      <c r="AT19" t="n">
        <v>0</v>
      </c>
      <c r="AU19" t="n">
        <v>0</v>
      </c>
      <c r="AV19" t="n">
        <v>0</v>
      </c>
      <c r="AW19" t="n">
        <v>4559.66145071836</v>
      </c>
      <c r="AX19" t="n">
        <v>9597913.98065422</v>
      </c>
      <c r="AY19" t="n">
        <v>450430.213652037</v>
      </c>
      <c r="AZ19" t="n">
        <v>0</v>
      </c>
      <c r="BA19" t="n">
        <v>0</v>
      </c>
      <c r="BB19" t="n">
        <v>7528614.61423639</v>
      </c>
      <c r="BC19" t="n">
        <v>195794.253061602</v>
      </c>
      <c r="BD19" t="n">
        <v>4222471.9711236</v>
      </c>
      <c r="BE19" t="n">
        <v>4148068.93316981</v>
      </c>
      <c r="BF19" t="n">
        <v>663043.428757838</v>
      </c>
      <c r="BG19" t="n">
        <v>1187355.56441589</v>
      </c>
      <c r="BH19" t="n">
        <v>71971.1415501526</v>
      </c>
      <c r="BI19" t="n">
        <v>92638.1541488484</v>
      </c>
      <c r="BJ19" t="n">
        <v>1134750.40148168</v>
      </c>
      <c r="BK19" t="n">
        <v>57208.3389514492</v>
      </c>
      <c r="BL19" t="n">
        <v>1635911.43068879</v>
      </c>
      <c r="BM19" t="n">
        <v>316519.131121966</v>
      </c>
      <c r="BN19" t="n">
        <v>722761.88135077</v>
      </c>
      <c r="BO19" t="n">
        <v>5746996.62369311</v>
      </c>
      <c r="BP19" t="n">
        <v>2666991.18900262</v>
      </c>
      <c r="BQ19" t="n">
        <v>2590118.72247806</v>
      </c>
      <c r="BR19" t="n">
        <v>0</v>
      </c>
      <c r="BS19" t="n">
        <v>672634.910031453</v>
      </c>
      <c r="BT19" t="n">
        <v>3573696.11781302</v>
      </c>
      <c r="BU19" t="n">
        <v>4478302.19534582</v>
      </c>
      <c r="BV19" t="n">
        <v>0</v>
      </c>
      <c r="BW19" t="n">
        <v>0</v>
      </c>
      <c r="BX19" t="n">
        <v>0</v>
      </c>
      <c r="BY19" t="n">
        <v>0</v>
      </c>
      <c r="BZ19" t="n">
        <v>28754810.8035431</v>
      </c>
      <c r="CA19" t="n">
        <v>171697070.407716</v>
      </c>
      <c r="CB19" t="n">
        <v>-1509985393.67546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115</v>
      </c>
      <c r="B20" t="n">
        <v>5058208.12434523</v>
      </c>
      <c r="C20" t="n">
        <v>638180.915537221</v>
      </c>
      <c r="D20" t="n">
        <v>5186.70578495151</v>
      </c>
      <c r="E20" t="n">
        <v>4850129.1638807</v>
      </c>
      <c r="F20" t="n">
        <v>386985.934733374</v>
      </c>
      <c r="G20" t="n">
        <v>7952486.63656361</v>
      </c>
      <c r="H20" t="n">
        <v>571893221.754982</v>
      </c>
      <c r="I20" t="n">
        <v>30259767.9309315</v>
      </c>
      <c r="J20" t="n">
        <v>14301568.6386217</v>
      </c>
      <c r="K20" t="n">
        <v>30086943.8478184</v>
      </c>
      <c r="L20" t="n">
        <v>326526523.323806</v>
      </c>
      <c r="M20" t="n">
        <v>240181450.87775</v>
      </c>
      <c r="N20" t="n">
        <v>13220180.8458457</v>
      </c>
      <c r="O20" t="n">
        <v>149985709.320283</v>
      </c>
      <c r="P20" t="n">
        <v>435305598.747303</v>
      </c>
      <c r="Q20" t="n">
        <v>63816988.2966813</v>
      </c>
      <c r="R20" t="n">
        <v>30621235.9304331</v>
      </c>
      <c r="S20" t="n">
        <v>20456044.6962507</v>
      </c>
      <c r="T20" t="n">
        <v>59741072.5108359</v>
      </c>
      <c r="U20" t="n">
        <v>18576266.501162</v>
      </c>
      <c r="V20" t="n">
        <v>229862.977842941</v>
      </c>
      <c r="W20" t="n">
        <v>119024004.346458</v>
      </c>
      <c r="X20" t="n">
        <v>3693312.06131027</v>
      </c>
      <c r="Y20" t="n">
        <v>1555324.15398035</v>
      </c>
      <c r="Z20" t="n">
        <v>55192379.8372679</v>
      </c>
      <c r="AA20" t="n">
        <v>158148162.5223</v>
      </c>
      <c r="AB20" t="n">
        <v>13782034.8717479</v>
      </c>
      <c r="AC20" t="n">
        <v>2444165.09448637</v>
      </c>
      <c r="AD20" t="n">
        <v>1701986.20379192</v>
      </c>
      <c r="AE20" t="n">
        <v>1369636.6668378</v>
      </c>
      <c r="AF20" t="n">
        <v>12643171.4534297</v>
      </c>
      <c r="AG20" t="n">
        <v>282257.602728381</v>
      </c>
      <c r="AH20" t="n">
        <v>1448468.96828394</v>
      </c>
      <c r="AI20" t="n">
        <v>2828541.77661551</v>
      </c>
      <c r="AJ20" t="n">
        <v>11136193.0526929</v>
      </c>
      <c r="AK20" t="n">
        <v>478296.232176452</v>
      </c>
      <c r="AL20" t="n">
        <v>482923.200338336</v>
      </c>
      <c r="AM20" t="n">
        <v>2263022.23195059</v>
      </c>
      <c r="AN20" t="n">
        <v>7420201.73342674</v>
      </c>
      <c r="AO20" t="n">
        <v>1128031.46503901</v>
      </c>
      <c r="AP20" t="n">
        <v>54221.0728198517</v>
      </c>
      <c r="AQ20" t="n">
        <v>61812796.5240443</v>
      </c>
      <c r="AR20" t="n">
        <v>3288916.21708607</v>
      </c>
      <c r="AS20" t="n">
        <v>1337867.53912335</v>
      </c>
      <c r="AT20" t="n">
        <v>318201.555430463</v>
      </c>
      <c r="AU20" t="n">
        <v>0</v>
      </c>
      <c r="AV20" t="n">
        <v>222518.219436474</v>
      </c>
      <c r="AW20" t="n">
        <v>131060.014681533</v>
      </c>
      <c r="AX20" t="n">
        <v>8462980.32878402</v>
      </c>
      <c r="AY20" t="n">
        <v>7570998.39816092</v>
      </c>
      <c r="AZ20" t="n">
        <v>178398.312531034</v>
      </c>
      <c r="BA20" t="n">
        <v>7878119.50257263</v>
      </c>
      <c r="BB20" t="n">
        <v>23902742.1409046</v>
      </c>
      <c r="BC20" t="n">
        <v>2172887.78158261</v>
      </c>
      <c r="BD20" t="n">
        <v>18139796.7053394</v>
      </c>
      <c r="BE20" t="n">
        <v>46730654.7108697</v>
      </c>
      <c r="BF20" t="n">
        <v>1536441.16623189</v>
      </c>
      <c r="BG20" t="n">
        <v>2108142.64630079</v>
      </c>
      <c r="BH20" t="n">
        <v>4636608.56121581</v>
      </c>
      <c r="BI20" t="n">
        <v>159059.25457007</v>
      </c>
      <c r="BJ20" t="n">
        <v>10238404.1845062</v>
      </c>
      <c r="BK20" t="n">
        <v>93236.0492231964</v>
      </c>
      <c r="BL20" t="n">
        <v>2972941.02665348</v>
      </c>
      <c r="BM20" t="n">
        <v>14088584.8212487</v>
      </c>
      <c r="BN20" t="n">
        <v>23639437.165144</v>
      </c>
      <c r="BO20" t="n">
        <v>28923218.8232823</v>
      </c>
      <c r="BP20" t="n">
        <v>51567978.7593271</v>
      </c>
      <c r="BQ20" t="n">
        <v>6618682.38383484</v>
      </c>
      <c r="BR20" t="n">
        <v>1170644.42717053</v>
      </c>
      <c r="BS20" t="n">
        <v>31313903.9169035</v>
      </c>
      <c r="BT20" t="n">
        <v>25392478.943767</v>
      </c>
      <c r="BU20" t="n">
        <v>164153672.03278</v>
      </c>
      <c r="BV20" t="n">
        <v>0</v>
      </c>
      <c r="BW20" t="n">
        <v>148312381.371924</v>
      </c>
      <c r="BX20" t="n">
        <v>0</v>
      </c>
      <c r="BY20" t="n">
        <v>0</v>
      </c>
      <c r="BZ20" t="n">
        <v>70689399.106632</v>
      </c>
      <c r="CA20" t="n">
        <v>850176167.112493</v>
      </c>
      <c r="CB20" t="n">
        <v>-1141290856.08292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3593088.49043568</v>
      </c>
      <c r="CJ20" t="n">
        <v>0</v>
      </c>
      <c r="CK20" t="n">
        <v>0</v>
      </c>
      <c r="CL20" t="n">
        <v>0</v>
      </c>
      <c r="CM20" t="n">
        <v>2227228.07284418</v>
      </c>
      <c r="CN20" t="n">
        <v>0</v>
      </c>
    </row>
    <row r="21">
      <c r="A21" t="s">
        <v>116</v>
      </c>
      <c r="B21" t="n">
        <v>8263139.38024152</v>
      </c>
      <c r="C21" t="n">
        <v>219932.547787801</v>
      </c>
      <c r="D21" t="n">
        <v>5511.78410249437</v>
      </c>
      <c r="E21" t="n">
        <v>22777461.5106484</v>
      </c>
      <c r="F21" t="n">
        <v>2443586.32567092</v>
      </c>
      <c r="G21" t="n">
        <v>18040611.726719</v>
      </c>
      <c r="H21" t="n">
        <v>256107977.680783</v>
      </c>
      <c r="I21" t="n">
        <v>5500974.14211101</v>
      </c>
      <c r="J21" t="n">
        <v>1192043.0607227</v>
      </c>
      <c r="K21" t="n">
        <v>7234036.24940897</v>
      </c>
      <c r="L21" t="n">
        <v>53527399.937323</v>
      </c>
      <c r="M21" t="n">
        <v>432752950.344118</v>
      </c>
      <c r="N21" t="n">
        <v>1192552.44280103</v>
      </c>
      <c r="O21" t="n">
        <v>48570175.9483232</v>
      </c>
      <c r="P21" t="n">
        <v>719908324.077801</v>
      </c>
      <c r="Q21" t="n">
        <v>22212858.8258912</v>
      </c>
      <c r="R21" t="n">
        <v>955924.460213404</v>
      </c>
      <c r="S21" t="n">
        <v>5092447.77206017</v>
      </c>
      <c r="T21" t="n">
        <v>21481480.6315357</v>
      </c>
      <c r="U21" t="n">
        <v>1418631.34999796</v>
      </c>
      <c r="V21" t="n">
        <v>4935.74718431101</v>
      </c>
      <c r="W21" t="n">
        <v>37979761.8139766</v>
      </c>
      <c r="X21" t="n">
        <v>9392993.74437984</v>
      </c>
      <c r="Y21" t="n">
        <v>93323.7498830324</v>
      </c>
      <c r="Z21" t="n">
        <v>30922832.3283395</v>
      </c>
      <c r="AA21" t="n">
        <v>48020079.930984</v>
      </c>
      <c r="AB21" t="n">
        <v>17805622.4817095</v>
      </c>
      <c r="AC21" t="n">
        <v>1689026.1703726</v>
      </c>
      <c r="AD21" t="n">
        <v>1040055.73463146</v>
      </c>
      <c r="AE21" t="n">
        <v>1195613.84823543</v>
      </c>
      <c r="AF21" t="n">
        <v>5084792.81457958</v>
      </c>
      <c r="AG21" t="n">
        <v>6619.29068551429</v>
      </c>
      <c r="AH21" t="n">
        <v>178919.599609862</v>
      </c>
      <c r="AI21" t="n">
        <v>206779.788326392</v>
      </c>
      <c r="AJ21" t="n">
        <v>3412759.68486543</v>
      </c>
      <c r="AK21" t="n">
        <v>70861.8568969092</v>
      </c>
      <c r="AL21" t="n">
        <v>35511.6010766468</v>
      </c>
      <c r="AM21" t="n">
        <v>49421190.1852041</v>
      </c>
      <c r="AN21" t="n">
        <v>15234629.312595</v>
      </c>
      <c r="AO21" t="n">
        <v>139062.991579286</v>
      </c>
      <c r="AP21" t="n">
        <v>41510.7633065558</v>
      </c>
      <c r="AQ21" t="n">
        <v>6852696.88330902</v>
      </c>
      <c r="AR21" t="n">
        <v>1130767.96777038</v>
      </c>
      <c r="AS21" t="n">
        <v>20992.8535556812</v>
      </c>
      <c r="AT21" t="n">
        <v>66283.8693873383</v>
      </c>
      <c r="AU21" t="n">
        <v>4158690.84064515</v>
      </c>
      <c r="AV21" t="n">
        <v>0</v>
      </c>
      <c r="AW21" t="n">
        <v>236379.861658128</v>
      </c>
      <c r="AX21" t="n">
        <v>346708.558416426</v>
      </c>
      <c r="AY21" t="n">
        <v>3471020.99981891</v>
      </c>
      <c r="AZ21" t="n">
        <v>81295.9326880598</v>
      </c>
      <c r="BA21" t="n">
        <v>10155071.6760935</v>
      </c>
      <c r="BB21" t="n">
        <v>14910548.9644843</v>
      </c>
      <c r="BC21" t="n">
        <v>1569179.61146798</v>
      </c>
      <c r="BD21" t="n">
        <v>38352288.3721861</v>
      </c>
      <c r="BE21" t="n">
        <v>94955060.0241361</v>
      </c>
      <c r="BF21" t="n">
        <v>7751342.51702552</v>
      </c>
      <c r="BG21" t="n">
        <v>7543609.78327857</v>
      </c>
      <c r="BH21" t="n">
        <v>2653133.57913235</v>
      </c>
      <c r="BI21" t="n">
        <v>881169.394685566</v>
      </c>
      <c r="BJ21" t="n">
        <v>688602.165181969</v>
      </c>
      <c r="BK21" t="n">
        <v>61703.4803351445</v>
      </c>
      <c r="BL21" t="n">
        <v>1035024.29416484</v>
      </c>
      <c r="BM21" t="n">
        <v>660484.936356074</v>
      </c>
      <c r="BN21" t="n">
        <v>4687152.40639497</v>
      </c>
      <c r="BO21" t="n">
        <v>45791764.9079431</v>
      </c>
      <c r="BP21" t="n">
        <v>11046814.9166583</v>
      </c>
      <c r="BQ21" t="n">
        <v>1476090.41493731</v>
      </c>
      <c r="BR21" t="n">
        <v>366860.524146339</v>
      </c>
      <c r="BS21" t="n">
        <v>45348638.891175</v>
      </c>
      <c r="BT21" t="n">
        <v>17263530.5914909</v>
      </c>
      <c r="BU21" t="n">
        <v>104069190.192972</v>
      </c>
      <c r="BV21" t="n">
        <v>0</v>
      </c>
      <c r="BW21" t="n">
        <v>2872166618.49491</v>
      </c>
      <c r="BX21" t="n">
        <v>0</v>
      </c>
      <c r="BY21" t="n">
        <v>0</v>
      </c>
      <c r="BZ21" t="n">
        <v>71230378.8478705</v>
      </c>
      <c r="CA21" t="n">
        <v>1424670637.11599</v>
      </c>
      <c r="CB21" t="n">
        <v>-3534369597.56344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753844.291584777</v>
      </c>
      <c r="CJ21" t="n">
        <v>0</v>
      </c>
      <c r="CK21" t="n">
        <v>0</v>
      </c>
      <c r="CL21" t="n">
        <v>0</v>
      </c>
      <c r="CM21" t="n">
        <v>93452285.6663012</v>
      </c>
      <c r="CN21" t="n">
        <v>0</v>
      </c>
    </row>
    <row r="22">
      <c r="A22" t="s">
        <v>117</v>
      </c>
      <c r="B22" t="n">
        <v>35896.5882357879</v>
      </c>
      <c r="C22" t="n">
        <v>0</v>
      </c>
      <c r="D22" t="n">
        <v>47.9620924615564</v>
      </c>
      <c r="E22" t="n">
        <v>198186.302965668</v>
      </c>
      <c r="F22" t="n">
        <v>90672.1944753254</v>
      </c>
      <c r="G22" t="n">
        <v>632483.712700948</v>
      </c>
      <c r="H22" t="n">
        <v>51777630.1451978</v>
      </c>
      <c r="I22" t="n">
        <v>9504215.61997093</v>
      </c>
      <c r="J22" t="n">
        <v>3591455.85936878</v>
      </c>
      <c r="K22" t="n">
        <v>6701011.10597807</v>
      </c>
      <c r="L22" t="n">
        <v>44176610.239602</v>
      </c>
      <c r="M22" t="n">
        <v>54184032.6266642</v>
      </c>
      <c r="N22" t="n">
        <v>73153270.5256115</v>
      </c>
      <c r="O22" t="n">
        <v>34476675.2000505</v>
      </c>
      <c r="P22" t="n">
        <v>363136174.177764</v>
      </c>
      <c r="Q22" t="n">
        <v>71754132.8169122</v>
      </c>
      <c r="R22" t="n">
        <v>4905082.51688404</v>
      </c>
      <c r="S22" t="n">
        <v>6864066.7528952</v>
      </c>
      <c r="T22" t="n">
        <v>11695824.3628972</v>
      </c>
      <c r="U22" t="n">
        <v>10119036.6037646</v>
      </c>
      <c r="V22" t="n">
        <v>51996.5184707428</v>
      </c>
      <c r="W22" t="n">
        <v>-2750314.55975224</v>
      </c>
      <c r="X22" t="n">
        <v>3394767.55343837</v>
      </c>
      <c r="Y22" t="n">
        <v>430248.969958976</v>
      </c>
      <c r="Z22" t="n">
        <v>24541955.9258534</v>
      </c>
      <c r="AA22" t="n">
        <v>34727178.3469952</v>
      </c>
      <c r="AB22" t="n">
        <v>269625194.68177</v>
      </c>
      <c r="AC22" t="n">
        <v>6967233.77423507</v>
      </c>
      <c r="AD22" t="n">
        <v>4104452.22908831</v>
      </c>
      <c r="AE22" t="n">
        <v>7169485.93728776</v>
      </c>
      <c r="AF22" t="n">
        <v>11967960.2152856</v>
      </c>
      <c r="AG22" t="n">
        <v>7095.74380253407</v>
      </c>
      <c r="AH22" t="n">
        <v>160718.511432896</v>
      </c>
      <c r="AI22" t="n">
        <v>792.147206160157</v>
      </c>
      <c r="AJ22" t="n">
        <v>2217157.12796255</v>
      </c>
      <c r="AK22" t="n">
        <v>4567.87396937574</v>
      </c>
      <c r="AL22" t="n">
        <v>5911.22876455319</v>
      </c>
      <c r="AM22" t="n">
        <v>512145.627590187</v>
      </c>
      <c r="AN22" t="n">
        <v>1800843.54651975</v>
      </c>
      <c r="AO22" t="n">
        <v>5701468.49743367</v>
      </c>
      <c r="AP22" t="n">
        <v>883331.6604811</v>
      </c>
      <c r="AQ22" t="n">
        <v>111823588.55925</v>
      </c>
      <c r="AR22" t="n">
        <v>18880981.0137577</v>
      </c>
      <c r="AS22" t="n">
        <v>2721272.08262764</v>
      </c>
      <c r="AT22" t="n">
        <v>2274779.75148003</v>
      </c>
      <c r="AU22" t="n">
        <v>308164.695575482</v>
      </c>
      <c r="AV22" t="n">
        <v>7726402.70202413</v>
      </c>
      <c r="AW22" t="n">
        <v>3119.13131517977</v>
      </c>
      <c r="AX22" t="n">
        <v>3176216.52819401</v>
      </c>
      <c r="AY22" t="n">
        <v>864309.882731161</v>
      </c>
      <c r="AZ22" t="n">
        <v>7583187.31952184</v>
      </c>
      <c r="BA22" t="n">
        <v>19000349.9998678</v>
      </c>
      <c r="BB22" t="n">
        <v>49666189.8536204</v>
      </c>
      <c r="BC22" t="n">
        <v>27852803.6864594</v>
      </c>
      <c r="BD22" t="n">
        <v>60605858.794615</v>
      </c>
      <c r="BE22" t="n">
        <v>16391499.033688</v>
      </c>
      <c r="BF22" t="n">
        <v>2839930.89718743</v>
      </c>
      <c r="BG22" t="n">
        <v>44467193.3826885</v>
      </c>
      <c r="BH22" t="n">
        <v>2832010.51799478</v>
      </c>
      <c r="BI22" t="n">
        <v>1001195.90814027</v>
      </c>
      <c r="BJ22" t="n">
        <v>3225621.18838989</v>
      </c>
      <c r="BK22" t="n">
        <v>86525.4966437006</v>
      </c>
      <c r="BL22" t="n">
        <v>1055736.78791261</v>
      </c>
      <c r="BM22" t="n">
        <v>2721358.65973995</v>
      </c>
      <c r="BN22" t="n">
        <v>1630985.5560668</v>
      </c>
      <c r="BO22" t="n">
        <v>27375411.5851599</v>
      </c>
      <c r="BP22" t="n">
        <v>74396768.7838617</v>
      </c>
      <c r="BQ22" t="n">
        <v>17539572.0111535</v>
      </c>
      <c r="BR22" t="n">
        <v>0</v>
      </c>
      <c r="BS22" t="n">
        <v>19195205.8382756</v>
      </c>
      <c r="BT22" t="n">
        <v>9091774.1674922</v>
      </c>
      <c r="BU22" t="n">
        <v>1074202037.79552</v>
      </c>
      <c r="BV22" t="n">
        <v>0</v>
      </c>
      <c r="BW22" t="n">
        <v>647250201.880249</v>
      </c>
      <c r="BX22" t="n">
        <v>0</v>
      </c>
      <c r="BY22" t="n">
        <v>2804974.20442986</v>
      </c>
      <c r="BZ22" t="n">
        <v>8793605.87151017</v>
      </c>
      <c r="CA22" t="n">
        <v>724246541.744511</v>
      </c>
      <c r="CB22" t="n">
        <v>-3150456728.39384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40162488.2145581</v>
      </c>
      <c r="CJ22" t="n">
        <v>0</v>
      </c>
      <c r="CK22" t="n">
        <v>0</v>
      </c>
      <c r="CL22" t="n">
        <v>0</v>
      </c>
      <c r="CM22" t="n">
        <v>100654821.891481</v>
      </c>
      <c r="CN22" t="n">
        <v>0</v>
      </c>
    </row>
    <row r="23">
      <c r="A23" t="s">
        <v>118</v>
      </c>
      <c r="B23" t="n">
        <v>8467473.53228769</v>
      </c>
      <c r="C23" t="n">
        <v>295392.841023537</v>
      </c>
      <c r="D23" t="n">
        <v>99.0420470255853</v>
      </c>
      <c r="E23" t="n">
        <v>470214.753010428</v>
      </c>
      <c r="F23" t="n">
        <v>331180.757406951</v>
      </c>
      <c r="G23" t="n">
        <v>207163.758841304</v>
      </c>
      <c r="H23" t="n">
        <v>318941131.899223</v>
      </c>
      <c r="I23" t="n">
        <v>6560499.89455448</v>
      </c>
      <c r="J23" t="n">
        <v>1245651.51706654</v>
      </c>
      <c r="K23" t="n">
        <v>15194830.9664324</v>
      </c>
      <c r="L23" t="n">
        <v>34924118.4504591</v>
      </c>
      <c r="M23" t="n">
        <v>195590177.561487</v>
      </c>
      <c r="N23" t="n">
        <v>7553438.23799033</v>
      </c>
      <c r="O23" t="n">
        <v>240403011.516095</v>
      </c>
      <c r="P23" t="n">
        <v>128967206.429578</v>
      </c>
      <c r="Q23" t="n">
        <v>10508567.8852922</v>
      </c>
      <c r="R23" t="n">
        <v>1344452.1283159</v>
      </c>
      <c r="S23" t="n">
        <v>5756728.8258112</v>
      </c>
      <c r="T23" t="n">
        <v>9722593.91283377</v>
      </c>
      <c r="U23" t="n">
        <v>3036215.37277306</v>
      </c>
      <c r="V23" t="n">
        <v>14752.0532784663</v>
      </c>
      <c r="W23" t="n">
        <v>16698626.1857951</v>
      </c>
      <c r="X23" t="n">
        <v>634934.476822275</v>
      </c>
      <c r="Y23" t="n">
        <v>313749.935869013</v>
      </c>
      <c r="Z23" t="n">
        <v>8443616.36408881</v>
      </c>
      <c r="AA23" t="n">
        <v>29127602.7162027</v>
      </c>
      <c r="AB23" t="n">
        <v>6421499.56848758</v>
      </c>
      <c r="AC23" t="n">
        <v>3099830.12503049</v>
      </c>
      <c r="AD23" t="n">
        <v>1010434.16158975</v>
      </c>
      <c r="AE23" t="n">
        <v>12487116.0047016</v>
      </c>
      <c r="AF23" t="n">
        <v>2489298.24260532</v>
      </c>
      <c r="AG23" t="n">
        <v>2583.93862938646</v>
      </c>
      <c r="AH23" t="n">
        <v>484453.266605053</v>
      </c>
      <c r="AI23" t="n">
        <v>21122.861929065</v>
      </c>
      <c r="AJ23" t="n">
        <v>539281.34100736</v>
      </c>
      <c r="AK23" t="n">
        <v>253287.178929523</v>
      </c>
      <c r="AL23" t="n">
        <v>1953.43873894643</v>
      </c>
      <c r="AM23" t="n">
        <v>609247.515071324</v>
      </c>
      <c r="AN23" t="n">
        <v>1248377.11559688</v>
      </c>
      <c r="AO23" t="n">
        <v>7521.09612678216</v>
      </c>
      <c r="AP23" t="n">
        <v>0</v>
      </c>
      <c r="AQ23" t="n">
        <v>28562017.3504626</v>
      </c>
      <c r="AR23" t="n">
        <v>490949.213228697</v>
      </c>
      <c r="AS23" t="n">
        <v>692697.38271106</v>
      </c>
      <c r="AT23" t="n">
        <v>193815.568077537</v>
      </c>
      <c r="AU23" t="n">
        <v>284380.344026973</v>
      </c>
      <c r="AV23" t="n">
        <v>0</v>
      </c>
      <c r="AW23" t="n">
        <v>30738.3469438511</v>
      </c>
      <c r="AX23" t="n">
        <v>9678159.96207427</v>
      </c>
      <c r="AY23" t="n">
        <v>1080021.12443626</v>
      </c>
      <c r="AZ23" t="n">
        <v>0</v>
      </c>
      <c r="BA23" t="n">
        <v>13031469.1508125</v>
      </c>
      <c r="BB23" t="n">
        <v>32052363.8789844</v>
      </c>
      <c r="BC23" t="n">
        <v>255674.56373645</v>
      </c>
      <c r="BD23" t="n">
        <v>19916132.8858897</v>
      </c>
      <c r="BE23" t="n">
        <v>24345387.0330027</v>
      </c>
      <c r="BF23" t="n">
        <v>1920216.10501444</v>
      </c>
      <c r="BG23" t="n">
        <v>94216.516242116</v>
      </c>
      <c r="BH23" t="n">
        <v>4233019.92522974</v>
      </c>
      <c r="BI23" t="n">
        <v>10260422.0200221</v>
      </c>
      <c r="BJ23" t="n">
        <v>1771211.14130393</v>
      </c>
      <c r="BK23" t="n">
        <v>184435.489438722</v>
      </c>
      <c r="BL23" t="n">
        <v>2952379.93467954</v>
      </c>
      <c r="BM23" t="n">
        <v>11383914.0793297</v>
      </c>
      <c r="BN23" t="n">
        <v>4684779.54594352</v>
      </c>
      <c r="BO23" t="n">
        <v>28310398.1031262</v>
      </c>
      <c r="BP23" t="n">
        <v>14619399.3833843</v>
      </c>
      <c r="BQ23" t="n">
        <v>20759678.672186</v>
      </c>
      <c r="BR23" t="n">
        <v>526391.549311328</v>
      </c>
      <c r="BS23" t="n">
        <v>13365179.4139892</v>
      </c>
      <c r="BT23" t="n">
        <v>20229053.2969393</v>
      </c>
      <c r="BU23" t="n">
        <v>458584849.313544</v>
      </c>
      <c r="BV23" t="n">
        <v>0</v>
      </c>
      <c r="BW23" t="n">
        <v>748453230.375163</v>
      </c>
      <c r="BX23" t="n">
        <v>0</v>
      </c>
      <c r="BY23" t="n">
        <v>66256450.7512175</v>
      </c>
      <c r="BZ23" t="n">
        <v>55499731.5929074</v>
      </c>
      <c r="CA23" t="n">
        <v>759580534.235063</v>
      </c>
      <c r="CB23" t="n">
        <v>-2061843519.89126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8024323.85695997</v>
      </c>
      <c r="CJ23" t="n">
        <v>0</v>
      </c>
      <c r="CK23" t="n">
        <v>0</v>
      </c>
      <c r="CL23" t="n">
        <v>0</v>
      </c>
      <c r="CM23" t="n">
        <v>10809564.9652187</v>
      </c>
      <c r="CN23" t="n">
        <v>0</v>
      </c>
    </row>
    <row r="24">
      <c r="A24" t="s">
        <v>119</v>
      </c>
      <c r="B24" t="n">
        <v>3509518.56341382</v>
      </c>
      <c r="C24" t="n">
        <v>336121.267230449</v>
      </c>
      <c r="D24" t="n">
        <v>611.222983865268</v>
      </c>
      <c r="E24" t="n">
        <v>4776171.07275934</v>
      </c>
      <c r="F24" t="n">
        <v>289034.501926957</v>
      </c>
      <c r="G24" t="n">
        <v>375799.583960123</v>
      </c>
      <c r="H24" t="n">
        <v>17136000.8344716</v>
      </c>
      <c r="I24" t="n">
        <v>24538653.2624993</v>
      </c>
      <c r="J24" t="n">
        <v>5454433.72214938</v>
      </c>
      <c r="K24" t="n">
        <v>7176188.35204695</v>
      </c>
      <c r="L24" t="n">
        <v>16944900.2819494</v>
      </c>
      <c r="M24" t="n">
        <v>144979760.666925</v>
      </c>
      <c r="N24" t="n">
        <v>2859108.77441172</v>
      </c>
      <c r="O24" t="n">
        <v>17136302.2720777</v>
      </c>
      <c r="P24" t="n">
        <v>3531678547.85142</v>
      </c>
      <c r="Q24" t="n">
        <v>17880609.7652681</v>
      </c>
      <c r="R24" t="n">
        <v>4447135.16637184</v>
      </c>
      <c r="S24" t="n">
        <v>5495393.51389986</v>
      </c>
      <c r="T24" t="n">
        <v>26415326.1343111</v>
      </c>
      <c r="U24" t="n">
        <v>3500233.47548847</v>
      </c>
      <c r="V24" t="n">
        <v>4925.59091353029</v>
      </c>
      <c r="W24" t="n">
        <v>37474798.9071768</v>
      </c>
      <c r="X24" t="n">
        <v>941057.422207628</v>
      </c>
      <c r="Y24" t="n">
        <v>282414.97694019</v>
      </c>
      <c r="Z24" t="n">
        <v>11643888.9307569</v>
      </c>
      <c r="AA24" t="n">
        <v>19600640.351531</v>
      </c>
      <c r="AB24" t="n">
        <v>58963330.6567647</v>
      </c>
      <c r="AC24" t="n">
        <v>40756555.8712345</v>
      </c>
      <c r="AD24" t="n">
        <v>17771707.7417213</v>
      </c>
      <c r="AE24" t="n">
        <v>4642729.14611823</v>
      </c>
      <c r="AF24" t="n">
        <v>31911392.7200946</v>
      </c>
      <c r="AG24" t="n">
        <v>0</v>
      </c>
      <c r="AH24" t="n">
        <v>311399.227059046</v>
      </c>
      <c r="AI24" t="n">
        <v>0</v>
      </c>
      <c r="AJ24" t="n">
        <v>50811653.5758264</v>
      </c>
      <c r="AK24" t="n">
        <v>680367.292919172</v>
      </c>
      <c r="AL24" t="n">
        <v>788.494009414712</v>
      </c>
      <c r="AM24" t="n">
        <v>787299.499430754</v>
      </c>
      <c r="AN24" t="n">
        <v>19752475.2113602</v>
      </c>
      <c r="AO24" t="n">
        <v>453474.021206478</v>
      </c>
      <c r="AP24" t="n">
        <v>230521.15285607</v>
      </c>
      <c r="AQ24" t="n">
        <v>8433560.53037765</v>
      </c>
      <c r="AR24" t="n">
        <v>808423.52892137</v>
      </c>
      <c r="AS24" t="n">
        <v>666081.722162141</v>
      </c>
      <c r="AT24" t="n">
        <v>51787.7343760324</v>
      </c>
      <c r="AU24" t="n">
        <v>0</v>
      </c>
      <c r="AV24" t="n">
        <v>0</v>
      </c>
      <c r="AW24" t="n">
        <v>0</v>
      </c>
      <c r="AX24" t="n">
        <v>0</v>
      </c>
      <c r="AY24" t="n">
        <v>11649774.9752994</v>
      </c>
      <c r="AZ24" t="n">
        <v>0</v>
      </c>
      <c r="BA24" t="n">
        <v>345945.090042374</v>
      </c>
      <c r="BB24" t="n">
        <v>17009098.5866397</v>
      </c>
      <c r="BC24" t="n">
        <v>2962593.6122779</v>
      </c>
      <c r="BD24" t="n">
        <v>104103740.314184</v>
      </c>
      <c r="BE24" t="n">
        <v>23929915.1908626</v>
      </c>
      <c r="BF24" t="n">
        <v>2340261.11489225</v>
      </c>
      <c r="BG24" t="n">
        <v>5367135.29549036</v>
      </c>
      <c r="BH24" t="n">
        <v>8154715.34590034</v>
      </c>
      <c r="BI24" t="n">
        <v>1112232.15579791</v>
      </c>
      <c r="BJ24" t="n">
        <v>11015293.0819316</v>
      </c>
      <c r="BK24" t="n">
        <v>162412.679603516</v>
      </c>
      <c r="BL24" t="n">
        <v>723751.640342296</v>
      </c>
      <c r="BM24" t="n">
        <v>1870955.28440505</v>
      </c>
      <c r="BN24" t="n">
        <v>10889452.3494906</v>
      </c>
      <c r="BO24" t="n">
        <v>86000447.3790161</v>
      </c>
      <c r="BP24" t="n">
        <v>67430258.8567707</v>
      </c>
      <c r="BQ24" t="n">
        <v>766677.98287983</v>
      </c>
      <c r="BR24" t="n">
        <v>19328511.0519769</v>
      </c>
      <c r="BS24" t="n">
        <v>67350866.7089125</v>
      </c>
      <c r="BT24" t="n">
        <v>7458864.98190832</v>
      </c>
      <c r="BU24" t="n">
        <v>1842529632.09727</v>
      </c>
      <c r="BV24" t="n">
        <v>0</v>
      </c>
      <c r="BW24" t="n">
        <v>6856706689.51855</v>
      </c>
      <c r="BX24" t="n">
        <v>0</v>
      </c>
      <c r="BY24" t="n">
        <v>0</v>
      </c>
      <c r="BZ24" t="n">
        <v>257036440.61668</v>
      </c>
      <c r="CA24" t="n">
        <v>9814588925.26492</v>
      </c>
      <c r="CB24" t="n">
        <v>-8976825879.1537</v>
      </c>
      <c r="CC24" t="n">
        <v>0</v>
      </c>
      <c r="CD24" t="n">
        <v>0</v>
      </c>
      <c r="CE24" t="n">
        <v>57649448.790314</v>
      </c>
      <c r="CF24" t="n">
        <v>0</v>
      </c>
      <c r="CG24" t="n">
        <v>0</v>
      </c>
      <c r="CH24" t="n">
        <v>0</v>
      </c>
      <c r="CI24" t="n">
        <v>13294778.0003846</v>
      </c>
      <c r="CJ24" t="n">
        <v>0</v>
      </c>
      <c r="CK24" t="n">
        <v>0</v>
      </c>
      <c r="CL24" t="n">
        <v>0</v>
      </c>
      <c r="CM24" t="n">
        <v>264802268.520292</v>
      </c>
      <c r="CN24" t="n">
        <v>0</v>
      </c>
    </row>
    <row r="25">
      <c r="A25" t="s">
        <v>120</v>
      </c>
      <c r="B25" t="n">
        <v>0</v>
      </c>
      <c r="C25" t="n">
        <v>31905.1102176763</v>
      </c>
      <c r="D25" t="n">
        <v>0</v>
      </c>
      <c r="E25" t="n">
        <v>29203.0896306137</v>
      </c>
      <c r="F25" t="n">
        <v>0</v>
      </c>
      <c r="G25" t="n">
        <v>0</v>
      </c>
      <c r="H25" t="n">
        <v>144274.959890823</v>
      </c>
      <c r="I25" t="n">
        <v>74216.4203974816</v>
      </c>
      <c r="J25" t="n">
        <v>0</v>
      </c>
      <c r="K25" t="n">
        <v>0</v>
      </c>
      <c r="L25" t="n">
        <v>465842.360290996</v>
      </c>
      <c r="M25" t="n">
        <v>1209496.64171526</v>
      </c>
      <c r="N25" t="n">
        <v>0</v>
      </c>
      <c r="O25" t="n">
        <v>0</v>
      </c>
      <c r="P25" t="n">
        <v>7255773.51925564</v>
      </c>
      <c r="Q25" t="n">
        <v>565027903.818277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247180.479177249</v>
      </c>
      <c r="AD25" t="n">
        <v>0</v>
      </c>
      <c r="AE25" t="n">
        <v>0</v>
      </c>
      <c r="AF25" t="n">
        <v>0</v>
      </c>
      <c r="AG25" t="n">
        <v>918006.437856175</v>
      </c>
      <c r="AH25" t="n">
        <v>2960821.01030938</v>
      </c>
      <c r="AI25" t="n">
        <v>1409416.27194587</v>
      </c>
      <c r="AJ25" t="n">
        <v>34187.7694060233</v>
      </c>
      <c r="AK25" t="n">
        <v>77601.5732505125</v>
      </c>
      <c r="AL25" t="n">
        <v>0</v>
      </c>
      <c r="AM25" t="n">
        <v>20492246.9475686</v>
      </c>
      <c r="AN25" t="n">
        <v>0</v>
      </c>
      <c r="AO25" t="n">
        <v>0</v>
      </c>
      <c r="AP25" t="n">
        <v>0</v>
      </c>
      <c r="AQ25" t="n">
        <v>10127.8868002672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3907658.11692637</v>
      </c>
      <c r="BC25" t="n">
        <v>116567.873731774</v>
      </c>
      <c r="BD25" t="n">
        <v>302345.838919219</v>
      </c>
      <c r="BE25" t="n">
        <v>795752.948877634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69558.8372040824</v>
      </c>
      <c r="BM25" t="n">
        <v>0</v>
      </c>
      <c r="BN25" t="n">
        <v>0</v>
      </c>
      <c r="BO25" t="n">
        <v>901651.253354431</v>
      </c>
      <c r="BP25" t="n">
        <v>217595038.967001</v>
      </c>
      <c r="BQ25" t="n">
        <v>9584438.73345643</v>
      </c>
      <c r="BR25" t="n">
        <v>2960.15598180868</v>
      </c>
      <c r="BS25" t="n">
        <v>0</v>
      </c>
      <c r="BT25" t="n">
        <v>305936.212870036</v>
      </c>
      <c r="BU25" t="n">
        <v>186749333.611381</v>
      </c>
      <c r="BV25" t="n">
        <v>0</v>
      </c>
      <c r="BW25" t="n">
        <v>263351231.193622</v>
      </c>
      <c r="BX25" t="n">
        <v>0</v>
      </c>
      <c r="BY25" t="n">
        <v>0</v>
      </c>
      <c r="BZ25" t="n">
        <v>221960562.523286</v>
      </c>
      <c r="CA25" t="n">
        <v>1572359985.37643</v>
      </c>
      <c r="CB25" t="n">
        <v>-700129816.243578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864658.176602427</v>
      </c>
      <c r="CJ25" t="n">
        <v>0</v>
      </c>
      <c r="CK25" t="n">
        <v>0</v>
      </c>
      <c r="CL25" t="n">
        <v>0</v>
      </c>
      <c r="CM25" t="n">
        <v>1167231.41633953</v>
      </c>
      <c r="CN25" t="n">
        <v>0</v>
      </c>
    </row>
    <row r="26">
      <c r="A26" t="s">
        <v>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122492672.238278</v>
      </c>
      <c r="I26" t="n">
        <v>5705696.754411</v>
      </c>
      <c r="J26" t="n">
        <v>0</v>
      </c>
      <c r="K26" t="n">
        <v>0</v>
      </c>
      <c r="L26" t="n">
        <v>0</v>
      </c>
      <c r="M26" t="n">
        <v>2605107.17248171</v>
      </c>
      <c r="N26" t="n">
        <v>110255.70607717</v>
      </c>
      <c r="O26" t="n">
        <v>0</v>
      </c>
      <c r="P26" t="n">
        <v>404897.398444213</v>
      </c>
      <c r="Q26" t="n">
        <v>1327518.42935822</v>
      </c>
      <c r="R26" t="n">
        <v>42342032.7250547</v>
      </c>
      <c r="S26" t="n">
        <v>454840.125252851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7291056.36396859</v>
      </c>
      <c r="AB26" t="n">
        <v>7799821.73964196</v>
      </c>
      <c r="AC26" t="n">
        <v>1129228.93313001</v>
      </c>
      <c r="AD26" t="n">
        <v>0</v>
      </c>
      <c r="AE26" t="n">
        <v>122008.674920396</v>
      </c>
      <c r="AF26" t="n">
        <v>14058479.8340213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2032.09786038243</v>
      </c>
      <c r="AP26" t="n">
        <v>0</v>
      </c>
      <c r="AQ26" t="n">
        <v>517388.643718994</v>
      </c>
      <c r="AR26" t="n">
        <v>631238.354641044</v>
      </c>
      <c r="AS26" t="n">
        <v>0</v>
      </c>
      <c r="AT26" t="n">
        <v>0</v>
      </c>
      <c r="AU26" t="n">
        <v>0</v>
      </c>
      <c r="AV26" t="n">
        <v>0</v>
      </c>
      <c r="AW26" t="n">
        <v>27723519.7304869</v>
      </c>
      <c r="AX26" t="n">
        <v>304643.859492477</v>
      </c>
      <c r="AY26" t="n">
        <v>0</v>
      </c>
      <c r="AZ26" t="n">
        <v>48366.5356108911</v>
      </c>
      <c r="BA26" t="n">
        <v>9932.72480417233</v>
      </c>
      <c r="BB26" t="n">
        <v>3758841.90581358</v>
      </c>
      <c r="BC26" t="n">
        <v>33524.4878560962</v>
      </c>
      <c r="BD26" t="n">
        <v>21206.6399458935</v>
      </c>
      <c r="BE26" t="n">
        <v>0</v>
      </c>
      <c r="BF26" t="n">
        <v>0</v>
      </c>
      <c r="BG26" t="n">
        <v>2189814.92863003</v>
      </c>
      <c r="BH26" t="n">
        <v>422948.34963438</v>
      </c>
      <c r="BI26" t="n">
        <v>6340.53790753898</v>
      </c>
      <c r="BJ26" t="n">
        <v>694257.986734798</v>
      </c>
      <c r="BK26" t="n">
        <v>1346917.64431935</v>
      </c>
      <c r="BL26" t="n">
        <v>3069354.9914041</v>
      </c>
      <c r="BM26" t="n">
        <v>17796.2222449791</v>
      </c>
      <c r="BN26" t="n">
        <v>1889069.89158256</v>
      </c>
      <c r="BO26" t="n">
        <v>3559419.20524243</v>
      </c>
      <c r="BP26" t="n">
        <v>0</v>
      </c>
      <c r="BQ26" t="n">
        <v>0</v>
      </c>
      <c r="BR26" t="n">
        <v>605566.260731971</v>
      </c>
      <c r="BS26" t="n">
        <v>84511.0031115035</v>
      </c>
      <c r="BT26" t="n">
        <v>7142920.79000825</v>
      </c>
      <c r="BU26" t="n">
        <v>564436071.005529</v>
      </c>
      <c r="BV26" t="n">
        <v>0</v>
      </c>
      <c r="BW26" t="n">
        <v>352263711.898714</v>
      </c>
      <c r="BX26" t="n">
        <v>0</v>
      </c>
      <c r="BY26" t="n">
        <v>6372070.79140379</v>
      </c>
      <c r="BZ26" t="n">
        <v>8836209.88918008</v>
      </c>
      <c r="CA26" t="n">
        <v>56486353.6318847</v>
      </c>
      <c r="CB26" t="n">
        <v>-682245936.431376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149709.479115665</v>
      </c>
      <c r="CJ26" t="n">
        <v>0</v>
      </c>
      <c r="CK26" t="n">
        <v>0</v>
      </c>
      <c r="CL26" t="n">
        <v>0</v>
      </c>
      <c r="CM26" t="n">
        <v>14417698.5315882</v>
      </c>
      <c r="CN26" t="n">
        <v>0</v>
      </c>
    </row>
    <row r="27">
      <c r="A27" t="s">
        <v>122</v>
      </c>
      <c r="B27" t="n">
        <v>232347.338647141</v>
      </c>
      <c r="C27" t="n">
        <v>0</v>
      </c>
      <c r="D27" t="n">
        <v>26.2301023775514</v>
      </c>
      <c r="E27" t="n">
        <v>202578.774349665</v>
      </c>
      <c r="F27" t="n">
        <v>12787.7947791567</v>
      </c>
      <c r="G27" t="n">
        <v>0</v>
      </c>
      <c r="H27" t="n">
        <v>9336655.14306285</v>
      </c>
      <c r="I27" t="n">
        <v>266520.011282727</v>
      </c>
      <c r="J27" t="n">
        <v>610063.499503968</v>
      </c>
      <c r="K27" t="n">
        <v>191830.275102013</v>
      </c>
      <c r="L27" t="n">
        <v>657785.473435256</v>
      </c>
      <c r="M27" t="n">
        <v>27389772.1261806</v>
      </c>
      <c r="N27" t="n">
        <v>1745.38945668879</v>
      </c>
      <c r="O27" t="n">
        <v>11901153.331565</v>
      </c>
      <c r="P27" t="n">
        <v>53087961.0101641</v>
      </c>
      <c r="Q27" t="n">
        <v>141150.897075006</v>
      </c>
      <c r="R27" t="n">
        <v>52440.7564842397</v>
      </c>
      <c r="S27" t="n">
        <v>35009706.6273527</v>
      </c>
      <c r="T27" t="n">
        <v>224854.628431858</v>
      </c>
      <c r="U27" t="n">
        <v>444878.361971708</v>
      </c>
      <c r="V27" t="n">
        <v>878038.476485312</v>
      </c>
      <c r="W27" t="n">
        <v>0</v>
      </c>
      <c r="X27" t="n">
        <v>21768.0903878825</v>
      </c>
      <c r="Y27" t="n">
        <v>1620.06477764926</v>
      </c>
      <c r="Z27" t="n">
        <v>2916084.72695091</v>
      </c>
      <c r="AA27" t="n">
        <v>3120172.922935</v>
      </c>
      <c r="AB27" t="n">
        <v>5645385.35029962</v>
      </c>
      <c r="AC27" t="n">
        <v>5341959.80564044</v>
      </c>
      <c r="AD27" t="n">
        <v>1114042.75707097</v>
      </c>
      <c r="AE27" t="n">
        <v>58587.1161958242</v>
      </c>
      <c r="AF27" t="n">
        <v>9774068.48541337</v>
      </c>
      <c r="AG27" t="n">
        <v>0</v>
      </c>
      <c r="AH27" t="n">
        <v>2922.51503574821</v>
      </c>
      <c r="AI27" t="n">
        <v>0</v>
      </c>
      <c r="AJ27" t="n">
        <v>62696.7276089753</v>
      </c>
      <c r="AK27" t="n">
        <v>27947.0607171748</v>
      </c>
      <c r="AL27" t="n">
        <v>251.622011747303</v>
      </c>
      <c r="AM27" t="n">
        <v>749730.85597394</v>
      </c>
      <c r="AN27" t="n">
        <v>1440507.14695995</v>
      </c>
      <c r="AO27" t="n">
        <v>7275.34435892442</v>
      </c>
      <c r="AP27" t="n">
        <v>4022.04339311517</v>
      </c>
      <c r="AQ27" t="n">
        <v>809972.527144423</v>
      </c>
      <c r="AR27" t="n">
        <v>196768.19893843</v>
      </c>
      <c r="AS27" t="n">
        <v>269334.471982671</v>
      </c>
      <c r="AT27" t="n">
        <v>46125.9390711173</v>
      </c>
      <c r="AU27" t="n">
        <v>101982.805449733</v>
      </c>
      <c r="AV27" t="n">
        <v>0</v>
      </c>
      <c r="AW27" t="n">
        <v>0</v>
      </c>
      <c r="AX27" t="n">
        <v>1459382.38361751</v>
      </c>
      <c r="AY27" t="n">
        <v>345080.703726877</v>
      </c>
      <c r="AZ27" t="n">
        <v>67874.4971350582</v>
      </c>
      <c r="BA27" t="n">
        <v>96603.6725190584</v>
      </c>
      <c r="BB27" t="n">
        <v>10619244.2220275</v>
      </c>
      <c r="BC27" t="n">
        <v>59222.598257517</v>
      </c>
      <c r="BD27" t="n">
        <v>18847270.6658561</v>
      </c>
      <c r="BE27" t="n">
        <v>3851687.43166257</v>
      </c>
      <c r="BF27" t="n">
        <v>1471590.00217335</v>
      </c>
      <c r="BG27" t="n">
        <v>130132511.892683</v>
      </c>
      <c r="BH27" t="n">
        <v>99158407.9382846</v>
      </c>
      <c r="BI27" t="n">
        <v>4721215.56702231</v>
      </c>
      <c r="BJ27" t="n">
        <v>8091273.78628727</v>
      </c>
      <c r="BK27" t="n">
        <v>215737.662391623</v>
      </c>
      <c r="BL27" t="n">
        <v>1962259.61880547</v>
      </c>
      <c r="BM27" t="n">
        <v>514830.538407943</v>
      </c>
      <c r="BN27" t="n">
        <v>8844656.85406496</v>
      </c>
      <c r="BO27" t="n">
        <v>10761367.0251125</v>
      </c>
      <c r="BP27" t="n">
        <v>9781371.86609232</v>
      </c>
      <c r="BQ27" t="n">
        <v>2878369.03023293</v>
      </c>
      <c r="BR27" t="n">
        <v>0</v>
      </c>
      <c r="BS27" t="n">
        <v>60909672.2649924</v>
      </c>
      <c r="BT27" t="n">
        <v>235064.992127336</v>
      </c>
      <c r="BU27" t="n">
        <v>1099678928.28752</v>
      </c>
      <c r="BV27" t="n">
        <v>0</v>
      </c>
      <c r="BW27" t="n">
        <v>304213075.198553</v>
      </c>
      <c r="BX27" t="n">
        <v>0</v>
      </c>
      <c r="BY27" t="n">
        <v>0</v>
      </c>
      <c r="BZ27" t="n">
        <v>19710573.8102706</v>
      </c>
      <c r="CA27" t="n">
        <v>101443203.016029</v>
      </c>
      <c r="CB27" t="n">
        <v>-1354193527.72362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317448.121404091</v>
      </c>
      <c r="CJ27" t="n">
        <v>0</v>
      </c>
      <c r="CK27" t="n">
        <v>0</v>
      </c>
      <c r="CL27" t="n">
        <v>0</v>
      </c>
      <c r="CM27" t="n">
        <v>7242506.62291879</v>
      </c>
      <c r="CN27" t="n">
        <v>0</v>
      </c>
    </row>
    <row r="28">
      <c r="A28" t="s">
        <v>123</v>
      </c>
      <c r="B28" t="n">
        <v>48479233.7107117</v>
      </c>
      <c r="C28" t="n">
        <v>486026.92389327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170546.535755654</v>
      </c>
      <c r="J28" t="n">
        <v>3613382.67936201</v>
      </c>
      <c r="K28" t="n">
        <v>29258.2806890741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28062.214273701</v>
      </c>
      <c r="T28" t="n">
        <v>570055362.164996</v>
      </c>
      <c r="U28" t="n">
        <v>338871.573880322</v>
      </c>
      <c r="V28" t="n">
        <v>904380.840875451</v>
      </c>
      <c r="W28" t="n">
        <v>7336092.45258597</v>
      </c>
      <c r="X28" t="n">
        <v>1076521.78952293</v>
      </c>
      <c r="Y28" t="n">
        <v>468455.300191847</v>
      </c>
      <c r="Z28" t="n">
        <v>29575731.6913309</v>
      </c>
      <c r="AA28" t="n">
        <v>4477692.7140332</v>
      </c>
      <c r="AB28" t="n">
        <v>10397932.7439776</v>
      </c>
      <c r="AC28" t="n">
        <v>5222.44594918073</v>
      </c>
      <c r="AD28" t="n">
        <v>15201149.1966345</v>
      </c>
      <c r="AE28" t="n">
        <v>6619104.98897349</v>
      </c>
      <c r="AF28" t="n">
        <v>7982578.0307857</v>
      </c>
      <c r="AG28" t="n">
        <v>561607.729836866</v>
      </c>
      <c r="AH28" t="n">
        <v>4876.33810945927</v>
      </c>
      <c r="AI28" t="n">
        <v>715414.588040507</v>
      </c>
      <c r="AJ28" t="n">
        <v>218543.306127398</v>
      </c>
      <c r="AK28" t="n">
        <v>0</v>
      </c>
      <c r="AL28" t="n">
        <v>0</v>
      </c>
      <c r="AM28" t="n">
        <v>35026.2693986084</v>
      </c>
      <c r="AN28" t="n">
        <v>0</v>
      </c>
      <c r="AO28" t="n">
        <v>55676.4034477879</v>
      </c>
      <c r="AP28" t="n">
        <v>18666.4871200408</v>
      </c>
      <c r="AQ28" t="n">
        <v>0</v>
      </c>
      <c r="AR28" t="n">
        <v>295567.741396748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16539661.3316468</v>
      </c>
      <c r="BC28" t="n">
        <v>201971.252381184</v>
      </c>
      <c r="BD28" t="n">
        <v>0</v>
      </c>
      <c r="BE28" t="n">
        <v>0</v>
      </c>
      <c r="BF28" t="n">
        <v>15808560.5802807</v>
      </c>
      <c r="BG28" t="n">
        <v>34760.6404027398</v>
      </c>
      <c r="BH28" t="n">
        <v>15810812.314926</v>
      </c>
      <c r="BI28" t="n">
        <v>23851874.1335093</v>
      </c>
      <c r="BJ28" t="n">
        <v>51953441.4794272</v>
      </c>
      <c r="BK28" t="n">
        <v>1804171.57035471</v>
      </c>
      <c r="BL28" t="n">
        <v>24297975.9800037</v>
      </c>
      <c r="BM28" t="n">
        <v>51214653.7581613</v>
      </c>
      <c r="BN28" t="n">
        <v>442144557.605628</v>
      </c>
      <c r="BO28" t="n">
        <v>7722640.76063</v>
      </c>
      <c r="BP28" t="n">
        <v>18003439.598427</v>
      </c>
      <c r="BQ28" t="n">
        <v>181269.038742289</v>
      </c>
      <c r="BR28" t="n">
        <v>3267675.0467098</v>
      </c>
      <c r="BS28" t="n">
        <v>370887689.432558</v>
      </c>
      <c r="BT28" t="n">
        <v>0</v>
      </c>
      <c r="BU28" t="n">
        <v>3983163552.27709</v>
      </c>
      <c r="BV28" t="n">
        <v>0</v>
      </c>
      <c r="BW28" t="n">
        <v>0</v>
      </c>
      <c r="BX28" t="n">
        <v>0</v>
      </c>
      <c r="BY28" t="n">
        <v>0</v>
      </c>
      <c r="BZ28" t="n">
        <v>61683562.2523187</v>
      </c>
      <c r="CA28" t="n">
        <v>869525379.588483</v>
      </c>
      <c r="CB28" t="n">
        <v>-1384984181.53859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124</v>
      </c>
      <c r="B29" t="n">
        <v>215994.410557214</v>
      </c>
      <c r="C29" t="n">
        <v>166245.523845763</v>
      </c>
      <c r="D29" t="n">
        <v>0</v>
      </c>
      <c r="E29" t="n">
        <v>9734.36321020457</v>
      </c>
      <c r="F29" t="n">
        <v>0</v>
      </c>
      <c r="G29" t="n">
        <v>0</v>
      </c>
      <c r="H29" t="n">
        <v>12149300.1952453</v>
      </c>
      <c r="I29" t="n">
        <v>5495215.54547317</v>
      </c>
      <c r="J29" t="n">
        <v>2704928.31964639</v>
      </c>
      <c r="K29" t="n">
        <v>0</v>
      </c>
      <c r="L29" t="n">
        <v>6286.11291292198</v>
      </c>
      <c r="M29" t="n">
        <v>5418405.46166524</v>
      </c>
      <c r="N29" t="n">
        <v>2766.74941469888</v>
      </c>
      <c r="O29" t="n">
        <v>0</v>
      </c>
      <c r="P29" t="n">
        <v>44900772.8114374</v>
      </c>
      <c r="Q29" t="n">
        <v>7044197.83341307</v>
      </c>
      <c r="R29" t="n">
        <v>29341167.1423415</v>
      </c>
      <c r="S29" t="n">
        <v>7242407.84766581</v>
      </c>
      <c r="T29" t="n">
        <v>1060115.66831757</v>
      </c>
      <c r="U29" t="n">
        <v>367708508.511446</v>
      </c>
      <c r="V29" t="n">
        <v>11266099.5014606</v>
      </c>
      <c r="W29" t="n">
        <v>71891506.5115149</v>
      </c>
      <c r="X29" t="n">
        <v>1006997.82620237</v>
      </c>
      <c r="Y29" t="n">
        <v>40077.8195426869</v>
      </c>
      <c r="Z29" t="n">
        <v>28673.359325664</v>
      </c>
      <c r="AA29" t="n">
        <v>81353346.2632481</v>
      </c>
      <c r="AB29" t="n">
        <v>18497682.5909106</v>
      </c>
      <c r="AC29" t="n">
        <v>375290.222521685</v>
      </c>
      <c r="AD29" t="n">
        <v>1082954.98923155</v>
      </c>
      <c r="AE29" t="n">
        <v>59398513.2603786</v>
      </c>
      <c r="AF29" t="n">
        <v>9003134.18294748</v>
      </c>
      <c r="AG29" t="n">
        <v>0</v>
      </c>
      <c r="AH29" t="n">
        <v>0</v>
      </c>
      <c r="AI29" t="n">
        <v>81191.4569625464</v>
      </c>
      <c r="AJ29" t="n">
        <v>116624.122659346</v>
      </c>
      <c r="AK29" t="n">
        <v>0</v>
      </c>
      <c r="AL29" t="n">
        <v>790.555458982754</v>
      </c>
      <c r="AM29" t="n">
        <v>263268.493619307</v>
      </c>
      <c r="AN29" t="n">
        <v>81625.0929560662</v>
      </c>
      <c r="AO29" t="n">
        <v>1325.8265709088</v>
      </c>
      <c r="AP29" t="n">
        <v>566424.392231159</v>
      </c>
      <c r="AQ29" t="n">
        <v>17766.6436222767</v>
      </c>
      <c r="AR29" t="n">
        <v>5917.33612554462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484407.714526694</v>
      </c>
      <c r="AY29" t="n">
        <v>1144455.61543231</v>
      </c>
      <c r="AZ29" t="n">
        <v>0</v>
      </c>
      <c r="BA29" t="n">
        <v>0</v>
      </c>
      <c r="BB29" t="n">
        <v>2204706.61436072</v>
      </c>
      <c r="BC29" t="n">
        <v>52312.0916177151</v>
      </c>
      <c r="BD29" t="n">
        <v>1723936.51131011</v>
      </c>
      <c r="BE29" t="n">
        <v>4193356.19014529</v>
      </c>
      <c r="BF29" t="n">
        <v>147294.084299345</v>
      </c>
      <c r="BG29" t="n">
        <v>852820.696592083</v>
      </c>
      <c r="BH29" t="n">
        <v>2301870.59256686</v>
      </c>
      <c r="BI29" t="n">
        <v>25118343.6394017</v>
      </c>
      <c r="BJ29" t="n">
        <v>10026163.0468887</v>
      </c>
      <c r="BK29" t="n">
        <v>0</v>
      </c>
      <c r="BL29" t="n">
        <v>2316740.15869635</v>
      </c>
      <c r="BM29" t="n">
        <v>27868209.9380604</v>
      </c>
      <c r="BN29" t="n">
        <v>4386336.66919665</v>
      </c>
      <c r="BO29" t="n">
        <v>6139283.44751594</v>
      </c>
      <c r="BP29" t="n">
        <v>8935659.49650563</v>
      </c>
      <c r="BQ29" t="n">
        <v>2240915.08520441</v>
      </c>
      <c r="BR29" t="n">
        <v>12462.7071606901</v>
      </c>
      <c r="BS29" t="n">
        <v>30282919.3197227</v>
      </c>
      <c r="BT29" t="n">
        <v>191464.981743449</v>
      </c>
      <c r="BU29" t="n">
        <v>251794967.658578</v>
      </c>
      <c r="BV29" t="n">
        <v>0</v>
      </c>
      <c r="BW29" t="n">
        <v>42517263.8004088</v>
      </c>
      <c r="BX29" t="n">
        <v>0</v>
      </c>
      <c r="BY29" t="n">
        <v>4288669.05289461</v>
      </c>
      <c r="BZ29" t="n">
        <v>28305743.8250866</v>
      </c>
      <c r="CA29" t="n">
        <v>549134329.607924</v>
      </c>
      <c r="CB29" t="n">
        <v>-781562862.401585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106876.735831234</v>
      </c>
      <c r="CJ29" t="n">
        <v>0</v>
      </c>
      <c r="CK29" t="n">
        <v>0</v>
      </c>
      <c r="CL29" t="n">
        <v>0</v>
      </c>
      <c r="CM29" t="n">
        <v>45156.7376975717</v>
      </c>
      <c r="CN29" t="n">
        <v>0</v>
      </c>
    </row>
    <row r="30">
      <c r="A30" t="s">
        <v>125</v>
      </c>
      <c r="B30" t="n">
        <v>215038.337143329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39397729.4201692</v>
      </c>
      <c r="Q30" t="n">
        <v>0</v>
      </c>
      <c r="R30" t="n">
        <v>0</v>
      </c>
      <c r="S30" t="n">
        <v>1275255.59311688</v>
      </c>
      <c r="T30" t="n">
        <v>96757.1493919794</v>
      </c>
      <c r="U30" t="n">
        <v>35849053.0794334</v>
      </c>
      <c r="V30" t="n">
        <v>13877161.0458469</v>
      </c>
      <c r="W30" t="n">
        <v>0</v>
      </c>
      <c r="X30" t="n">
        <v>24359896.9808288</v>
      </c>
      <c r="Y30" t="n">
        <v>0</v>
      </c>
      <c r="Z30" t="n">
        <v>0</v>
      </c>
      <c r="AA30" t="n">
        <v>12228.5340478851</v>
      </c>
      <c r="AB30" t="n">
        <v>3538634.53145903</v>
      </c>
      <c r="AC30" t="n">
        <v>1212527.59481362</v>
      </c>
      <c r="AD30" t="n">
        <v>62289.1606958436</v>
      </c>
      <c r="AE30" t="n">
        <v>1171064.08153299</v>
      </c>
      <c r="AF30" t="n">
        <v>2453686.96451546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227208.079383116</v>
      </c>
      <c r="AP30" t="n">
        <v>64333.1341455666</v>
      </c>
      <c r="AQ30" t="n">
        <v>11002102.3586736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609659.389424454</v>
      </c>
      <c r="AZ30" t="n">
        <v>0</v>
      </c>
      <c r="BA30" t="n">
        <v>0</v>
      </c>
      <c r="BB30" t="n">
        <v>37220.7756760463</v>
      </c>
      <c r="BC30" t="n">
        <v>19548.4001018709</v>
      </c>
      <c r="BD30" t="n">
        <v>2118396.35588315</v>
      </c>
      <c r="BE30" t="n">
        <v>601770.89047449</v>
      </c>
      <c r="BF30" t="n">
        <v>399863.834727192</v>
      </c>
      <c r="BG30" t="n">
        <v>805983.966097565</v>
      </c>
      <c r="BH30" t="n">
        <v>643734.042270693</v>
      </c>
      <c r="BI30" t="n">
        <v>0</v>
      </c>
      <c r="BJ30" t="n">
        <v>4064581.33165477</v>
      </c>
      <c r="BK30" t="n">
        <v>317023.939705051</v>
      </c>
      <c r="BL30" t="n">
        <v>566412.25821069</v>
      </c>
      <c r="BM30" t="n">
        <v>458307.855644366</v>
      </c>
      <c r="BN30" t="n">
        <v>6934417.63897536</v>
      </c>
      <c r="BO30" t="n">
        <v>18315191.5619609</v>
      </c>
      <c r="BP30" t="n">
        <v>5208459.41676697</v>
      </c>
      <c r="BQ30" t="n">
        <v>690082.804329772</v>
      </c>
      <c r="BR30" t="n">
        <v>524009.182783597</v>
      </c>
      <c r="BS30" t="n">
        <v>36387362.6548722</v>
      </c>
      <c r="BT30" t="n">
        <v>82154.5223415664</v>
      </c>
      <c r="BU30" t="n">
        <v>2212302221.77782</v>
      </c>
      <c r="BV30" t="n">
        <v>0</v>
      </c>
      <c r="BW30" t="n">
        <v>0</v>
      </c>
      <c r="BX30" t="n">
        <v>0</v>
      </c>
      <c r="BY30" t="n">
        <v>0</v>
      </c>
      <c r="BZ30" t="n">
        <v>-6098853.72829211</v>
      </c>
      <c r="CA30" t="n">
        <v>35737027.3963059</v>
      </c>
      <c r="CB30" t="n">
        <v>-2360149048.35242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126</v>
      </c>
      <c r="B31" t="n">
        <v>1311630.70943796</v>
      </c>
      <c r="C31" t="n">
        <v>0</v>
      </c>
      <c r="D31" t="n">
        <v>45.1896076019111</v>
      </c>
      <c r="E31" t="n">
        <v>760289.495094957</v>
      </c>
      <c r="F31" t="n">
        <v>28844.4640464538</v>
      </c>
      <c r="G31" t="n">
        <v>177568.110427311</v>
      </c>
      <c r="H31" t="n">
        <v>19604874.9436646</v>
      </c>
      <c r="I31" t="n">
        <v>9798707.49682887</v>
      </c>
      <c r="J31" t="n">
        <v>12331379.5302273</v>
      </c>
      <c r="K31" t="n">
        <v>9783267.96398421</v>
      </c>
      <c r="L31" t="n">
        <v>16829690.501987</v>
      </c>
      <c r="M31" t="n">
        <v>17835703.4250752</v>
      </c>
      <c r="N31" t="n">
        <v>1176366.29064963</v>
      </c>
      <c r="O31" t="n">
        <v>20499783.2406281</v>
      </c>
      <c r="P31" t="n">
        <v>77233140.0758493</v>
      </c>
      <c r="Q31" t="n">
        <v>2507469.47277058</v>
      </c>
      <c r="R31" t="n">
        <v>9031205.33363607</v>
      </c>
      <c r="S31" t="n">
        <v>9502248.45261355</v>
      </c>
      <c r="T31" t="n">
        <v>98475808.2648488</v>
      </c>
      <c r="U31" t="n">
        <v>15363620.3493384</v>
      </c>
      <c r="V31" t="n">
        <v>96685.3600873722</v>
      </c>
      <c r="W31" t="n">
        <v>1058579673.79338</v>
      </c>
      <c r="X31" t="n">
        <v>52329090.506726</v>
      </c>
      <c r="Y31" t="n">
        <v>371554.163148835</v>
      </c>
      <c r="Z31" t="n">
        <v>35771874.8907137</v>
      </c>
      <c r="AA31" t="n">
        <v>96180766.7931569</v>
      </c>
      <c r="AB31" t="n">
        <v>42517273.8517914</v>
      </c>
      <c r="AC31" t="n">
        <v>1192576.81354246</v>
      </c>
      <c r="AD31" t="n">
        <v>9250133.09502598</v>
      </c>
      <c r="AE31" t="n">
        <v>3866560.44422148</v>
      </c>
      <c r="AF31" t="n">
        <v>8067311.36233796</v>
      </c>
      <c r="AG31" t="n">
        <v>39500.662273504</v>
      </c>
      <c r="AH31" t="n">
        <v>322851.585698062</v>
      </c>
      <c r="AI31" t="n">
        <v>6970.51116133056</v>
      </c>
      <c r="AJ31" t="n">
        <v>1261116.30509243</v>
      </c>
      <c r="AK31" t="n">
        <v>2026988.66762068</v>
      </c>
      <c r="AL31" t="n">
        <v>22407.2816284773</v>
      </c>
      <c r="AM31" t="n">
        <v>9459954.08002794</v>
      </c>
      <c r="AN31" t="n">
        <v>1953080.63825765</v>
      </c>
      <c r="AO31" t="n">
        <v>3282066.23835353</v>
      </c>
      <c r="AP31" t="n">
        <v>94860.5302833386</v>
      </c>
      <c r="AQ31" t="n">
        <v>1543883.9138293</v>
      </c>
      <c r="AR31" t="n">
        <v>429867.29242074</v>
      </c>
      <c r="AS31" t="n">
        <v>2911845.33607172</v>
      </c>
      <c r="AT31" t="n">
        <v>580909.343970212</v>
      </c>
      <c r="AU31" t="n">
        <v>4469939.45675321</v>
      </c>
      <c r="AV31" t="n">
        <v>6475.43837322731</v>
      </c>
      <c r="AW31" t="n">
        <v>0</v>
      </c>
      <c r="AX31" t="n">
        <v>3401690.58980843</v>
      </c>
      <c r="AY31" t="n">
        <v>3563017.91743989</v>
      </c>
      <c r="AZ31" t="n">
        <v>1553636.92982656</v>
      </c>
      <c r="BA31" t="n">
        <v>1611985.12168089</v>
      </c>
      <c r="BB31" t="n">
        <v>10973287.3343206</v>
      </c>
      <c r="BC31" t="n">
        <v>4084908.72610373</v>
      </c>
      <c r="BD31" t="n">
        <v>33512607.0769726</v>
      </c>
      <c r="BE31" t="n">
        <v>4753665.55929348</v>
      </c>
      <c r="BF31" t="n">
        <v>927479.356696378</v>
      </c>
      <c r="BG31" t="n">
        <v>7807534.53179819</v>
      </c>
      <c r="BH31" t="n">
        <v>4655002.15558517</v>
      </c>
      <c r="BI31" t="n">
        <v>4903084.28346562</v>
      </c>
      <c r="BJ31" t="n">
        <v>4654578.04438947</v>
      </c>
      <c r="BK31" t="n">
        <v>161819.642119666</v>
      </c>
      <c r="BL31" t="n">
        <v>833389.14965294</v>
      </c>
      <c r="BM31" t="n">
        <v>27455784.9134787</v>
      </c>
      <c r="BN31" t="n">
        <v>33804608.1584429</v>
      </c>
      <c r="BO31" t="n">
        <v>5816314.59180181</v>
      </c>
      <c r="BP31" t="n">
        <v>2435542.42423791</v>
      </c>
      <c r="BQ31" t="n">
        <v>9552507.54273964</v>
      </c>
      <c r="BR31" t="n">
        <v>764336.711705835</v>
      </c>
      <c r="BS31" t="n">
        <v>89983265.5623835</v>
      </c>
      <c r="BT31" t="n">
        <v>170553.529086976</v>
      </c>
      <c r="BU31" t="n">
        <v>162304390.067996</v>
      </c>
      <c r="BV31" t="n">
        <v>0</v>
      </c>
      <c r="BW31" t="n">
        <v>0</v>
      </c>
      <c r="BX31" t="n">
        <v>0</v>
      </c>
      <c r="BY31" t="n">
        <v>0</v>
      </c>
      <c r="BZ31" t="n">
        <v>34237360.3137197</v>
      </c>
      <c r="CA31" t="n">
        <v>922051716.021507</v>
      </c>
      <c r="CB31" t="n">
        <v>-602758283.871595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127</v>
      </c>
      <c r="B32" t="n">
        <v>49000.2018653848</v>
      </c>
      <c r="C32" t="n">
        <v>0</v>
      </c>
      <c r="D32" t="n">
        <v>6.51755944986952</v>
      </c>
      <c r="E32" t="n">
        <v>15661.1325726005</v>
      </c>
      <c r="F32" t="n">
        <v>0</v>
      </c>
      <c r="G32" t="n">
        <v>113225.878100079</v>
      </c>
      <c r="H32" t="n">
        <v>443615.237022202</v>
      </c>
      <c r="I32" t="n">
        <v>67728.6454474546</v>
      </c>
      <c r="J32" t="n">
        <v>0</v>
      </c>
      <c r="K32" t="n">
        <v>0</v>
      </c>
      <c r="L32" t="n">
        <v>172158.166100166</v>
      </c>
      <c r="M32" t="n">
        <v>65629.3359308709</v>
      </c>
      <c r="N32" t="n">
        <v>0</v>
      </c>
      <c r="O32" t="n">
        <v>59689.1151674234</v>
      </c>
      <c r="P32" t="n">
        <v>114522.725210344</v>
      </c>
      <c r="Q32" t="n">
        <v>0</v>
      </c>
      <c r="R32" t="n">
        <v>0</v>
      </c>
      <c r="S32" t="n">
        <v>0</v>
      </c>
      <c r="T32" t="n">
        <v>332879.701744674</v>
      </c>
      <c r="U32" t="n">
        <v>0</v>
      </c>
      <c r="V32" t="n">
        <v>11866.9222178772</v>
      </c>
      <c r="W32" t="n">
        <v>0</v>
      </c>
      <c r="X32" t="n">
        <v>9968922.73180028</v>
      </c>
      <c r="Y32" t="n">
        <v>3061.59077168233</v>
      </c>
      <c r="Z32" t="n">
        <v>1366800.6315864</v>
      </c>
      <c r="AA32" t="n">
        <v>0</v>
      </c>
      <c r="AB32" t="n">
        <v>93828682.6794927</v>
      </c>
      <c r="AC32" t="n">
        <v>2279972.23431501</v>
      </c>
      <c r="AD32" t="n">
        <v>2019506.36482527</v>
      </c>
      <c r="AE32" t="n">
        <v>2656788.69810299</v>
      </c>
      <c r="AF32" t="n">
        <v>48849004.0612277</v>
      </c>
      <c r="AG32" t="n">
        <v>12745.9585263472</v>
      </c>
      <c r="AH32" t="n">
        <v>55229.5512314799</v>
      </c>
      <c r="AI32" t="n">
        <v>0</v>
      </c>
      <c r="AJ32" t="n">
        <v>2487839.46610387</v>
      </c>
      <c r="AK32" t="n">
        <v>205772.703504761</v>
      </c>
      <c r="AL32" t="n">
        <v>4986.35847603519</v>
      </c>
      <c r="AM32" t="n">
        <v>1930335.64648024</v>
      </c>
      <c r="AN32" t="n">
        <v>203472.648813216</v>
      </c>
      <c r="AO32" t="n">
        <v>10751451.1938779</v>
      </c>
      <c r="AP32" t="n">
        <v>1745545.00285674</v>
      </c>
      <c r="AQ32" t="n">
        <v>4252799.78363623</v>
      </c>
      <c r="AR32" t="n">
        <v>11634261.290772</v>
      </c>
      <c r="AS32" t="n">
        <v>5358925.85354905</v>
      </c>
      <c r="AT32" t="n">
        <v>3366014.09910307</v>
      </c>
      <c r="AU32" t="n">
        <v>27190219.726568</v>
      </c>
      <c r="AV32" t="n">
        <v>0</v>
      </c>
      <c r="AW32" t="n">
        <v>0</v>
      </c>
      <c r="AX32" t="n">
        <v>789411.952181743</v>
      </c>
      <c r="AY32" t="n">
        <v>2966807.75796568</v>
      </c>
      <c r="AZ32" t="n">
        <v>4785118.43806541</v>
      </c>
      <c r="BA32" t="n">
        <v>1613101.8794138</v>
      </c>
      <c r="BB32" t="n">
        <v>37890045.227611</v>
      </c>
      <c r="BC32" t="n">
        <v>5647467.70860832</v>
      </c>
      <c r="BD32" t="n">
        <v>34260408.3119696</v>
      </c>
      <c r="BE32" t="n">
        <v>356460.571046053</v>
      </c>
      <c r="BF32" t="n">
        <v>3810525.46198705</v>
      </c>
      <c r="BG32" t="n">
        <v>16320315.7642996</v>
      </c>
      <c r="BH32" t="n">
        <v>17748186.2357829</v>
      </c>
      <c r="BI32" t="n">
        <v>1247609.83380692</v>
      </c>
      <c r="BJ32" t="n">
        <v>11188088.296951</v>
      </c>
      <c r="BK32" t="n">
        <v>2540731.1824032</v>
      </c>
      <c r="BL32" t="n">
        <v>1683191.89408307</v>
      </c>
      <c r="BM32" t="n">
        <v>11968060.2933081</v>
      </c>
      <c r="BN32" t="n">
        <v>10877441.3418688</v>
      </c>
      <c r="BO32" t="n">
        <v>12370244.1209039</v>
      </c>
      <c r="BP32" t="n">
        <v>5800202.23586175</v>
      </c>
      <c r="BQ32" t="n">
        <v>10995186.855224</v>
      </c>
      <c r="BR32" t="n">
        <v>423442.584832831</v>
      </c>
      <c r="BS32" t="n">
        <v>101467139.783177</v>
      </c>
      <c r="BT32" t="n">
        <v>3087927.92430879</v>
      </c>
      <c r="BU32" t="n">
        <v>34526718.1273827</v>
      </c>
      <c r="BV32" t="n">
        <v>0</v>
      </c>
      <c r="BW32" t="n">
        <v>0</v>
      </c>
      <c r="BX32" t="n">
        <v>0</v>
      </c>
      <c r="BY32" t="n">
        <v>0</v>
      </c>
      <c r="BZ32" t="n">
        <v>1483523.03122948</v>
      </c>
      <c r="CA32" t="n">
        <v>27919408.0132347</v>
      </c>
      <c r="CB32" t="n">
        <v>-35920931.7338674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128</v>
      </c>
      <c r="B33" t="n">
        <v>15832444.1184532</v>
      </c>
      <c r="C33" t="n">
        <v>670538.687402205</v>
      </c>
      <c r="D33" t="n">
        <v>1411.08648024445</v>
      </c>
      <c r="E33" t="n">
        <v>10593053.0770032</v>
      </c>
      <c r="F33" t="n">
        <v>511091.004666553</v>
      </c>
      <c r="G33" t="n">
        <v>110529977.96533</v>
      </c>
      <c r="H33" t="n">
        <v>119449693.60925</v>
      </c>
      <c r="I33" t="n">
        <v>5306200.3286678</v>
      </c>
      <c r="J33" t="n">
        <v>2653200.62626434</v>
      </c>
      <c r="K33" t="n">
        <v>5710469.71640027</v>
      </c>
      <c r="L33" t="n">
        <v>10946492.0786324</v>
      </c>
      <c r="M33" t="n">
        <v>6551927.24172617</v>
      </c>
      <c r="N33" t="n">
        <v>213814.114611196</v>
      </c>
      <c r="O33" t="n">
        <v>4979198.90981561</v>
      </c>
      <c r="P33" t="n">
        <v>3828479.77889391</v>
      </c>
      <c r="Q33" t="n">
        <v>624238.19760694</v>
      </c>
      <c r="R33" t="n">
        <v>801664.450665465</v>
      </c>
      <c r="S33" t="n">
        <v>1837582.60008002</v>
      </c>
      <c r="T33" t="n">
        <v>5089751.51069684</v>
      </c>
      <c r="U33" t="n">
        <v>2027790.05118792</v>
      </c>
      <c r="V33" t="n">
        <v>9538.33992084197</v>
      </c>
      <c r="W33" t="n">
        <v>29035844.6990085</v>
      </c>
      <c r="X33" t="n">
        <v>1574291.77084317</v>
      </c>
      <c r="Y33" t="n">
        <v>12667960.2518476</v>
      </c>
      <c r="Z33" t="n">
        <v>50942184.0794921</v>
      </c>
      <c r="AA33" t="n">
        <v>8778920.85690937</v>
      </c>
      <c r="AB33" t="n">
        <v>13574458.2255536</v>
      </c>
      <c r="AC33" t="n">
        <v>3102256.27241338</v>
      </c>
      <c r="AD33" t="n">
        <v>1809247.07433219</v>
      </c>
      <c r="AE33" t="n">
        <v>1382446.78576853</v>
      </c>
      <c r="AF33" t="n">
        <v>5173345.27153645</v>
      </c>
      <c r="AG33" t="n">
        <v>21188424.5266863</v>
      </c>
      <c r="AH33" t="n">
        <v>14237269.1500249</v>
      </c>
      <c r="AI33" t="n">
        <v>7235307.94422626</v>
      </c>
      <c r="AJ33" t="n">
        <v>54207898.9891482</v>
      </c>
      <c r="AK33" t="n">
        <v>1239279.27466755</v>
      </c>
      <c r="AL33" t="n">
        <v>33930.510193376</v>
      </c>
      <c r="AM33" t="n">
        <v>38112580.4827101</v>
      </c>
      <c r="AN33" t="n">
        <v>20587570.1637251</v>
      </c>
      <c r="AO33" t="n">
        <v>433148.635411986</v>
      </c>
      <c r="AP33" t="n">
        <v>69083.8727138694</v>
      </c>
      <c r="AQ33" t="n">
        <v>1651905.43107316</v>
      </c>
      <c r="AR33" t="n">
        <v>506540.561827672</v>
      </c>
      <c r="AS33" t="n">
        <v>6011784.32953639</v>
      </c>
      <c r="AT33" t="n">
        <v>2197575.4204452</v>
      </c>
      <c r="AU33" t="n">
        <v>142048.405584299</v>
      </c>
      <c r="AV33" t="n">
        <v>1711027.2586558</v>
      </c>
      <c r="AW33" t="n">
        <v>88752.7349882238</v>
      </c>
      <c r="AX33" t="n">
        <v>9002258.88139672</v>
      </c>
      <c r="AY33" t="n">
        <v>3414875.26938217</v>
      </c>
      <c r="AZ33" t="n">
        <v>128410.644616608</v>
      </c>
      <c r="BA33" t="n">
        <v>1659069.14513002</v>
      </c>
      <c r="BB33" t="n">
        <v>4124869.35197322</v>
      </c>
      <c r="BC33" t="n">
        <v>1999362.50407642</v>
      </c>
      <c r="BD33" t="n">
        <v>17086413.0907144</v>
      </c>
      <c r="BE33" t="n">
        <v>11786646.8102152</v>
      </c>
      <c r="BF33" t="n">
        <v>2571615.46335136</v>
      </c>
      <c r="BG33" t="n">
        <v>2503386.25986404</v>
      </c>
      <c r="BH33" t="n">
        <v>2187808.12010438</v>
      </c>
      <c r="BI33" t="n">
        <v>2636398.95524759</v>
      </c>
      <c r="BJ33" t="n">
        <v>1609682.77152144</v>
      </c>
      <c r="BK33" t="n">
        <v>325779.293668495</v>
      </c>
      <c r="BL33" t="n">
        <v>2022901.61640507</v>
      </c>
      <c r="BM33" t="n">
        <v>4632211.50051005</v>
      </c>
      <c r="BN33" t="n">
        <v>14941662.1919345</v>
      </c>
      <c r="BO33" t="n">
        <v>8675338.31933952</v>
      </c>
      <c r="BP33" t="n">
        <v>61959384.1542007</v>
      </c>
      <c r="BQ33" t="n">
        <v>3527507.051278</v>
      </c>
      <c r="BR33" t="n">
        <v>4265915.77240394</v>
      </c>
      <c r="BS33" t="n">
        <v>378784786.170253</v>
      </c>
      <c r="BT33" t="n">
        <v>64700551.8081839</v>
      </c>
      <c r="BU33" t="n">
        <v>766597314.919261</v>
      </c>
      <c r="BV33" t="n">
        <v>0</v>
      </c>
      <c r="BW33" t="n">
        <v>0</v>
      </c>
      <c r="BX33" t="n">
        <v>0</v>
      </c>
      <c r="BY33" t="n">
        <v>0</v>
      </c>
      <c r="BZ33" t="n">
        <v>7043702.67368413</v>
      </c>
      <c r="CA33" t="n">
        <v>16425062.7723276</v>
      </c>
      <c r="CB33" t="n">
        <v>-835931982.297674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129</v>
      </c>
      <c r="B34" t="n">
        <v>39294145.7040164</v>
      </c>
      <c r="C34" t="n">
        <v>4375290.88028327</v>
      </c>
      <c r="D34" t="n">
        <v>2746.74402158619</v>
      </c>
      <c r="E34" t="n">
        <v>6922136.01359964</v>
      </c>
      <c r="F34" t="n">
        <v>597042.958861817</v>
      </c>
      <c r="G34" t="n">
        <v>5252908.82952791</v>
      </c>
      <c r="H34" t="n">
        <v>62476717.4900521</v>
      </c>
      <c r="I34" t="n">
        <v>22041627.8699146</v>
      </c>
      <c r="J34" t="n">
        <v>25227552.5114013</v>
      </c>
      <c r="K34" t="n">
        <v>8082183.53662579</v>
      </c>
      <c r="L34" t="n">
        <v>41647487.2134831</v>
      </c>
      <c r="M34" t="n">
        <v>16419002.170006</v>
      </c>
      <c r="N34" t="n">
        <v>3365026.43865016</v>
      </c>
      <c r="O34" t="n">
        <v>28564920.5735796</v>
      </c>
      <c r="P34" t="n">
        <v>128830702.042444</v>
      </c>
      <c r="Q34" t="n">
        <v>4487364.5407428</v>
      </c>
      <c r="R34" t="n">
        <v>8547066.58923463</v>
      </c>
      <c r="S34" t="n">
        <v>25253155.8316748</v>
      </c>
      <c r="T34" t="n">
        <v>27294948.2856181</v>
      </c>
      <c r="U34" t="n">
        <v>380989287.524419</v>
      </c>
      <c r="V34" t="n">
        <v>414534.88623245</v>
      </c>
      <c r="W34" t="n">
        <v>143719960.59384</v>
      </c>
      <c r="X34" t="n">
        <v>9839986.69406167</v>
      </c>
      <c r="Y34" t="n">
        <v>23619211.763209</v>
      </c>
      <c r="Z34" t="n">
        <v>1228197334.61351</v>
      </c>
      <c r="AA34" t="n">
        <v>1125767512.16588</v>
      </c>
      <c r="AB34" t="n">
        <v>8743230.36073902</v>
      </c>
      <c r="AC34" t="n">
        <v>730413.406380717</v>
      </c>
      <c r="AD34" t="n">
        <v>453233.032392171</v>
      </c>
      <c r="AE34" t="n">
        <v>393439.646736408</v>
      </c>
      <c r="AF34" t="n">
        <v>2483113.31579327</v>
      </c>
      <c r="AG34" t="n">
        <v>915.631519679167</v>
      </c>
      <c r="AH34" t="n">
        <v>525478.247948124</v>
      </c>
      <c r="AI34" t="n">
        <v>10986.2349377223</v>
      </c>
      <c r="AJ34" t="n">
        <v>1190633.04125182</v>
      </c>
      <c r="AK34" t="n">
        <v>16182.3773942399</v>
      </c>
      <c r="AL34" t="n">
        <v>1001.0369884272</v>
      </c>
      <c r="AM34" t="n">
        <v>279863.100310647</v>
      </c>
      <c r="AN34" t="n">
        <v>2497654.20577705</v>
      </c>
      <c r="AO34" t="n">
        <v>405331.546115925</v>
      </c>
      <c r="AP34" t="n">
        <v>434058.550760276</v>
      </c>
      <c r="AQ34" t="n">
        <v>4399290.04248934</v>
      </c>
      <c r="AR34" t="n">
        <v>949173.62019779</v>
      </c>
      <c r="AS34" t="n">
        <v>135411.416570327</v>
      </c>
      <c r="AT34" t="n">
        <v>91058.3585486948</v>
      </c>
      <c r="AU34" t="n">
        <v>237162.37975967</v>
      </c>
      <c r="AV34" t="n">
        <v>0</v>
      </c>
      <c r="AW34" t="n">
        <v>1529948.86949623</v>
      </c>
      <c r="AX34" t="n">
        <v>41065266.2388501</v>
      </c>
      <c r="AY34" t="n">
        <v>330259.294364578</v>
      </c>
      <c r="AZ34" t="n">
        <v>404635.294851479</v>
      </c>
      <c r="BA34" t="n">
        <v>653174.730677841</v>
      </c>
      <c r="BB34" t="n">
        <v>134523898.897816</v>
      </c>
      <c r="BC34" t="n">
        <v>6109209.94883589</v>
      </c>
      <c r="BD34" t="n">
        <v>49720060.5622411</v>
      </c>
      <c r="BE34" t="n">
        <v>19456013.9747136</v>
      </c>
      <c r="BF34" t="n">
        <v>1907093.25977801</v>
      </c>
      <c r="BG34" t="n">
        <v>184171401.408247</v>
      </c>
      <c r="BH34" t="n">
        <v>23998585.5130182</v>
      </c>
      <c r="BI34" t="n">
        <v>11661449.1355019</v>
      </c>
      <c r="BJ34" t="n">
        <v>1545246.52458885</v>
      </c>
      <c r="BK34" t="n">
        <v>449781.838696789</v>
      </c>
      <c r="BL34" t="n">
        <v>2726520.68984506</v>
      </c>
      <c r="BM34" t="n">
        <v>575021.138359013</v>
      </c>
      <c r="BN34" t="n">
        <v>8710229.00518453</v>
      </c>
      <c r="BO34" t="n">
        <v>26129800.1868333</v>
      </c>
      <c r="BP34" t="n">
        <v>23213940.2777748</v>
      </c>
      <c r="BQ34" t="n">
        <v>9826029.98117525</v>
      </c>
      <c r="BR34" t="n">
        <v>405173.254435938</v>
      </c>
      <c r="BS34" t="n">
        <v>201996057.829051</v>
      </c>
      <c r="BT34" t="n">
        <v>7148225.2374686</v>
      </c>
      <c r="BU34" t="n">
        <v>2357865245.89992</v>
      </c>
      <c r="BV34" t="n">
        <v>0</v>
      </c>
      <c r="BW34" t="n">
        <v>16227315.5146928</v>
      </c>
      <c r="BX34" t="n">
        <v>0</v>
      </c>
      <c r="BY34" t="n">
        <v>0</v>
      </c>
      <c r="BZ34" t="n">
        <v>105567389.830433</v>
      </c>
      <c r="CA34" t="n">
        <v>2505714460.26422</v>
      </c>
      <c r="CB34" t="n">
        <v>-4294331422.4028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130</v>
      </c>
      <c r="B35" t="n">
        <v>4445418.75893257</v>
      </c>
      <c r="C35" t="n">
        <v>216344.948001815</v>
      </c>
      <c r="D35" t="n">
        <v>52.9802449925197</v>
      </c>
      <c r="E35" t="n">
        <v>7732570.5525339</v>
      </c>
      <c r="F35" t="n">
        <v>475340.432926676</v>
      </c>
      <c r="G35" t="n">
        <v>204820.291036313</v>
      </c>
      <c r="H35" t="n">
        <v>210172986.704044</v>
      </c>
      <c r="I35" t="n">
        <v>12459930.4384218</v>
      </c>
      <c r="J35" t="n">
        <v>9171882.06711759</v>
      </c>
      <c r="K35" t="n">
        <v>4532736.4235739</v>
      </c>
      <c r="L35" t="n">
        <v>22690850.2909774</v>
      </c>
      <c r="M35" t="n">
        <v>106292451.046629</v>
      </c>
      <c r="N35" t="n">
        <v>5656909.84691366</v>
      </c>
      <c r="O35" t="n">
        <v>38125449.105635</v>
      </c>
      <c r="P35" t="n">
        <v>409188341.158756</v>
      </c>
      <c r="Q35" t="n">
        <v>16400830.6280227</v>
      </c>
      <c r="R35" t="n">
        <v>20688749.0377018</v>
      </c>
      <c r="S35" t="n">
        <v>23568367.188026</v>
      </c>
      <c r="T35" t="n">
        <v>74275168.5546441</v>
      </c>
      <c r="U35" t="n">
        <v>15710234.6258186</v>
      </c>
      <c r="V35" t="n">
        <v>483617.965249884</v>
      </c>
      <c r="W35" t="n">
        <v>59101344.4401511</v>
      </c>
      <c r="X35" t="n">
        <v>14576468.6264216</v>
      </c>
      <c r="Y35" t="n">
        <v>649363.387459504</v>
      </c>
      <c r="Z35" t="n">
        <v>61480716.6715512</v>
      </c>
      <c r="AA35" t="n">
        <v>426172668.538366</v>
      </c>
      <c r="AB35" t="n">
        <v>107703335.512629</v>
      </c>
      <c r="AC35" t="n">
        <v>7483740.45245373</v>
      </c>
      <c r="AD35" t="n">
        <v>11226529.8031263</v>
      </c>
      <c r="AE35" t="n">
        <v>4279868.47184539</v>
      </c>
      <c r="AF35" t="n">
        <v>22080496.3264054</v>
      </c>
      <c r="AG35" t="n">
        <v>896808.192402097</v>
      </c>
      <c r="AH35" t="n">
        <v>13720.2737297122</v>
      </c>
      <c r="AI35" t="n">
        <v>0</v>
      </c>
      <c r="AJ35" t="n">
        <v>7516212.73540995</v>
      </c>
      <c r="AK35" t="n">
        <v>99092.422814811</v>
      </c>
      <c r="AL35" t="n">
        <v>60044.8244580574</v>
      </c>
      <c r="AM35" t="n">
        <v>9041693.14617217</v>
      </c>
      <c r="AN35" t="n">
        <v>3330263.34639176</v>
      </c>
      <c r="AO35" t="n">
        <v>520052.632791126</v>
      </c>
      <c r="AP35" t="n">
        <v>134781.037156564</v>
      </c>
      <c r="AQ35" t="n">
        <v>25007491.4981282</v>
      </c>
      <c r="AR35" t="n">
        <v>1166008.02575508</v>
      </c>
      <c r="AS35" t="n">
        <v>155682.909631415</v>
      </c>
      <c r="AT35" t="n">
        <v>185585.881009748</v>
      </c>
      <c r="AU35" t="n">
        <v>4873496.52042525</v>
      </c>
      <c r="AV35" t="n">
        <v>0</v>
      </c>
      <c r="AW35" t="n">
        <v>67413.6777704311</v>
      </c>
      <c r="AX35" t="n">
        <v>2402460.98255334</v>
      </c>
      <c r="AY35" t="n">
        <v>9737461.27615201</v>
      </c>
      <c r="AZ35" t="n">
        <v>115918.098175173</v>
      </c>
      <c r="BA35" t="n">
        <v>5753147.60874679</v>
      </c>
      <c r="BB35" t="n">
        <v>30623623.1267025</v>
      </c>
      <c r="BC35" t="n">
        <v>412442.762118544</v>
      </c>
      <c r="BD35" t="n">
        <v>15372567.3479815</v>
      </c>
      <c r="BE35" t="n">
        <v>5845170.54075123</v>
      </c>
      <c r="BF35" t="n">
        <v>2466339.84167385</v>
      </c>
      <c r="BG35" t="n">
        <v>49242393.4951592</v>
      </c>
      <c r="BH35" t="n">
        <v>14578210.8301038</v>
      </c>
      <c r="BI35" t="n">
        <v>9324777.88506187</v>
      </c>
      <c r="BJ35" t="n">
        <v>6063509.03264384</v>
      </c>
      <c r="BK35" t="n">
        <v>110822.439618292</v>
      </c>
      <c r="BL35" t="n">
        <v>1319890.81210615</v>
      </c>
      <c r="BM35" t="n">
        <v>1355112.56041522</v>
      </c>
      <c r="BN35" t="n">
        <v>45904622.0299683</v>
      </c>
      <c r="BO35" t="n">
        <v>20690049.0100019</v>
      </c>
      <c r="BP35" t="n">
        <v>23722164.6533021</v>
      </c>
      <c r="BQ35" t="n">
        <v>4863495.03269673</v>
      </c>
      <c r="BR35" t="n">
        <v>208667.600624361</v>
      </c>
      <c r="BS35" t="n">
        <v>101926699.787196</v>
      </c>
      <c r="BT35" t="n">
        <v>15351002.759387</v>
      </c>
      <c r="BU35" t="n">
        <v>388665375.931318</v>
      </c>
      <c r="BV35" t="n">
        <v>0</v>
      </c>
      <c r="BW35" t="n">
        <v>7622518.30558058</v>
      </c>
      <c r="BX35" t="n">
        <v>0</v>
      </c>
      <c r="BY35" t="n">
        <v>220092.671994418</v>
      </c>
      <c r="BZ35" t="n">
        <v>66962987.2401555</v>
      </c>
      <c r="CA35" t="n">
        <v>1902921892.33796</v>
      </c>
      <c r="CB35" t="n">
        <v>-1017300401.13682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85335.9360726184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131</v>
      </c>
      <c r="B36" t="n">
        <v>51926578.5736076</v>
      </c>
      <c r="C36" t="n">
        <v>3809503.16889264</v>
      </c>
      <c r="D36" t="n">
        <v>2415.07187307053</v>
      </c>
      <c r="E36" t="n">
        <v>10900111.3968375</v>
      </c>
      <c r="F36" t="n">
        <v>783136.40103922</v>
      </c>
      <c r="G36" t="n">
        <v>31237345.4161693</v>
      </c>
      <c r="H36" t="n">
        <v>342737947.70005</v>
      </c>
      <c r="I36" t="n">
        <v>53713368.7749094</v>
      </c>
      <c r="J36" t="n">
        <v>29177359.7478808</v>
      </c>
      <c r="K36" t="n">
        <v>94404263.7397535</v>
      </c>
      <c r="L36" t="n">
        <v>95155360.7592161</v>
      </c>
      <c r="M36" t="n">
        <v>149785283.067913</v>
      </c>
      <c r="N36" t="n">
        <v>13715260.3738812</v>
      </c>
      <c r="O36" t="n">
        <v>95246267.8553379</v>
      </c>
      <c r="P36" t="n">
        <v>624716806.568759</v>
      </c>
      <c r="Q36" t="n">
        <v>36908955.7112231</v>
      </c>
      <c r="R36" t="n">
        <v>22251263.113333</v>
      </c>
      <c r="S36" t="n">
        <v>24819122.4958432</v>
      </c>
      <c r="T36" t="n">
        <v>176803749.833826</v>
      </c>
      <c r="U36" t="n">
        <v>73382061.8555913</v>
      </c>
      <c r="V36" t="n">
        <v>3740654.46904927</v>
      </c>
      <c r="W36" t="n">
        <v>160612554.913717</v>
      </c>
      <c r="X36" t="n">
        <v>12109953.8037796</v>
      </c>
      <c r="Y36" t="n">
        <v>12559033.7139927</v>
      </c>
      <c r="Z36" t="n">
        <v>181857214.137224</v>
      </c>
      <c r="AA36" t="n">
        <v>225269736.375918</v>
      </c>
      <c r="AB36" t="n">
        <v>184868403.728395</v>
      </c>
      <c r="AC36" t="n">
        <v>16520027.0106837</v>
      </c>
      <c r="AD36" t="n">
        <v>11338353.6887441</v>
      </c>
      <c r="AE36" t="n">
        <v>14644306.2617488</v>
      </c>
      <c r="AF36" t="n">
        <v>56020959.792136</v>
      </c>
      <c r="AG36" t="n">
        <v>2135441.84502357</v>
      </c>
      <c r="AH36" t="n">
        <v>4574343.30796846</v>
      </c>
      <c r="AI36" t="n">
        <v>1914660.85843839</v>
      </c>
      <c r="AJ36" t="n">
        <v>34620480.1932552</v>
      </c>
      <c r="AK36" t="n">
        <v>926145.841255378</v>
      </c>
      <c r="AL36" t="n">
        <v>99825.5788500695</v>
      </c>
      <c r="AM36" t="n">
        <v>17133337.5154209</v>
      </c>
      <c r="AN36" t="n">
        <v>12762703.319142</v>
      </c>
      <c r="AO36" t="n">
        <v>10779608.645309</v>
      </c>
      <c r="AP36" t="n">
        <v>326545.054157899</v>
      </c>
      <c r="AQ36" t="n">
        <v>40632354.0621406</v>
      </c>
      <c r="AR36" t="n">
        <v>3897298.32955126</v>
      </c>
      <c r="AS36" t="n">
        <v>4215671.70637224</v>
      </c>
      <c r="AT36" t="n">
        <v>1694391.18177891</v>
      </c>
      <c r="AU36" t="n">
        <v>2831669.16367656</v>
      </c>
      <c r="AV36" t="n">
        <v>1565700.09248496</v>
      </c>
      <c r="AW36" t="n">
        <v>2267089.1953851</v>
      </c>
      <c r="AX36" t="n">
        <v>12999449.0156441</v>
      </c>
      <c r="AY36" t="n">
        <v>37763374.1670858</v>
      </c>
      <c r="AZ36" t="n">
        <v>1569945.80103182</v>
      </c>
      <c r="BA36" t="n">
        <v>7739804.40848877</v>
      </c>
      <c r="BB36" t="n">
        <v>46708434.9979222</v>
      </c>
      <c r="BC36" t="n">
        <v>8243804.42465516</v>
      </c>
      <c r="BD36" t="n">
        <v>48714519.4243706</v>
      </c>
      <c r="BE36" t="n">
        <v>26759942.7722563</v>
      </c>
      <c r="BF36" t="n">
        <v>5883623.96679688</v>
      </c>
      <c r="BG36" t="n">
        <v>90462489.1786181</v>
      </c>
      <c r="BH36" t="n">
        <v>29912224.2779059</v>
      </c>
      <c r="BI36" t="n">
        <v>12559425.1343742</v>
      </c>
      <c r="BJ36" t="n">
        <v>12368612.7719172</v>
      </c>
      <c r="BK36" t="n">
        <v>896631.093491359</v>
      </c>
      <c r="BL36" t="n">
        <v>10385641.6879942</v>
      </c>
      <c r="BM36" t="n">
        <v>19074051.8749868</v>
      </c>
      <c r="BN36" t="n">
        <v>103065404.906182</v>
      </c>
      <c r="BO36" t="n">
        <v>41224388.9227009</v>
      </c>
      <c r="BP36" t="n">
        <v>54476198.8628296</v>
      </c>
      <c r="BQ36" t="n">
        <v>11418101.6587818</v>
      </c>
      <c r="BR36" t="n">
        <v>4626494.42160193</v>
      </c>
      <c r="BS36" t="n">
        <v>171464986.779944</v>
      </c>
      <c r="BT36" t="n">
        <v>34781196.0761551</v>
      </c>
      <c r="BU36" t="n">
        <v>2328462195.93517</v>
      </c>
      <c r="BV36" t="n">
        <v>309677.679975329</v>
      </c>
      <c r="BW36" t="n">
        <v>719345057.892985</v>
      </c>
      <c r="BX36" t="n">
        <v>83039445.9407235</v>
      </c>
      <c r="BY36" t="n">
        <v>15861068.9875799</v>
      </c>
      <c r="BZ36" t="n">
        <v>109995129.791237</v>
      </c>
      <c r="CA36" t="n">
        <v>2486187700.28194</v>
      </c>
      <c r="CB36" t="n">
        <v>926080032.089468</v>
      </c>
      <c r="CC36" t="n">
        <v>0</v>
      </c>
      <c r="CD36" t="n">
        <v>0</v>
      </c>
      <c r="CE36" t="n">
        <v>63336743.1986022</v>
      </c>
      <c r="CF36" t="n">
        <v>5600968.94804102</v>
      </c>
      <c r="CG36" t="n">
        <v>0</v>
      </c>
      <c r="CH36" t="n">
        <v>0</v>
      </c>
      <c r="CI36" t="n">
        <v>1856707.40953473</v>
      </c>
      <c r="CJ36" t="n">
        <v>0</v>
      </c>
      <c r="CK36" t="n">
        <v>0</v>
      </c>
      <c r="CL36" t="n">
        <v>0</v>
      </c>
      <c r="CM36" t="n">
        <v>42094598.4124603</v>
      </c>
      <c r="CN36" t="n">
        <v>9563494.16505346</v>
      </c>
    </row>
    <row r="37">
      <c r="A37" t="s">
        <v>132</v>
      </c>
      <c r="B37" t="n">
        <v>60913.3164692695</v>
      </c>
      <c r="C37" t="n">
        <v>12441.9863001594</v>
      </c>
      <c r="D37" t="n">
        <v>188.66395834234</v>
      </c>
      <c r="E37" t="n">
        <v>1586701.20326334</v>
      </c>
      <c r="F37" t="n">
        <v>124504.380241751</v>
      </c>
      <c r="G37" t="n">
        <v>239054.1502316</v>
      </c>
      <c r="H37" t="n">
        <v>29056982.3045902</v>
      </c>
      <c r="I37" t="n">
        <v>5998900.17428021</v>
      </c>
      <c r="J37" t="n">
        <v>2346573.16932785</v>
      </c>
      <c r="K37" t="n">
        <v>1450051.89670138</v>
      </c>
      <c r="L37" t="n">
        <v>6446736.65908715</v>
      </c>
      <c r="M37" t="n">
        <v>36264705.2196307</v>
      </c>
      <c r="N37" t="n">
        <v>565849.024110085</v>
      </c>
      <c r="O37" t="n">
        <v>111301.438266087</v>
      </c>
      <c r="P37" t="n">
        <v>115209623.813827</v>
      </c>
      <c r="Q37" t="n">
        <v>5652332.50043165</v>
      </c>
      <c r="R37" t="n">
        <v>1493756.5817056</v>
      </c>
      <c r="S37" t="n">
        <v>2487129.38459013</v>
      </c>
      <c r="T37" t="n">
        <v>10635749.8707872</v>
      </c>
      <c r="U37" t="n">
        <v>1474733.1810612</v>
      </c>
      <c r="V37" t="n">
        <v>0</v>
      </c>
      <c r="W37" t="n">
        <v>13628498.3093626</v>
      </c>
      <c r="X37" t="n">
        <v>388015.513613613</v>
      </c>
      <c r="Y37" t="n">
        <v>5708.90446800254</v>
      </c>
      <c r="Z37" t="n">
        <v>5378558.75428985</v>
      </c>
      <c r="AA37" t="n">
        <v>6241649.27306962</v>
      </c>
      <c r="AB37" t="n">
        <v>1180520.85453952</v>
      </c>
      <c r="AC37" t="n">
        <v>16029594.1876238</v>
      </c>
      <c r="AD37" t="n">
        <v>8237741.50202532</v>
      </c>
      <c r="AE37" t="n">
        <v>2221834.27216874</v>
      </c>
      <c r="AF37" t="n">
        <v>14762677.1522223</v>
      </c>
      <c r="AG37" t="n">
        <v>0</v>
      </c>
      <c r="AH37" t="n">
        <v>54925.7350712337</v>
      </c>
      <c r="AI37" t="n">
        <v>0</v>
      </c>
      <c r="AJ37" t="n">
        <v>16665189.2001256</v>
      </c>
      <c r="AK37" t="n">
        <v>13703.6219081272</v>
      </c>
      <c r="AL37" t="n">
        <v>591.122876455319</v>
      </c>
      <c r="AM37" t="n">
        <v>123066.667592509</v>
      </c>
      <c r="AN37" t="n">
        <v>907962.382445141</v>
      </c>
      <c r="AO37" t="n">
        <v>192559.279486168</v>
      </c>
      <c r="AP37" t="n">
        <v>104383.082048674</v>
      </c>
      <c r="AQ37" t="n">
        <v>758314.808132081</v>
      </c>
      <c r="AR37" t="n">
        <v>42093.8970812802</v>
      </c>
      <c r="AS37" t="n">
        <v>276381.894609973</v>
      </c>
      <c r="AT37" t="n">
        <v>23130.1293767695</v>
      </c>
      <c r="AU37" t="n">
        <v>123572.649220696</v>
      </c>
      <c r="AV37" t="n">
        <v>0</v>
      </c>
      <c r="AW37" t="n">
        <v>1060014.18383622</v>
      </c>
      <c r="AX37" t="n">
        <v>1871814.5231513</v>
      </c>
      <c r="AY37" t="n">
        <v>5237714.38954989</v>
      </c>
      <c r="AZ37" t="n">
        <v>0</v>
      </c>
      <c r="BA37" t="n">
        <v>160070.355945507</v>
      </c>
      <c r="BB37" t="n">
        <v>4254073.05439713</v>
      </c>
      <c r="BC37" t="n">
        <v>0</v>
      </c>
      <c r="BD37" t="n">
        <v>36321679.0184049</v>
      </c>
      <c r="BE37" t="n">
        <v>1773248.81199245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22539.4814567038</v>
      </c>
      <c r="BL37" t="n">
        <v>186005.154905959</v>
      </c>
      <c r="BM37" t="n">
        <v>567852.469195991</v>
      </c>
      <c r="BN37" t="n">
        <v>1819540.49720308</v>
      </c>
      <c r="BO37" t="n">
        <v>38588395.0245258</v>
      </c>
      <c r="BP37" t="n">
        <v>0</v>
      </c>
      <c r="BQ37" t="n">
        <v>0</v>
      </c>
      <c r="BR37" t="n">
        <v>0</v>
      </c>
      <c r="BS37" t="n">
        <v>0</v>
      </c>
      <c r="BT37" t="n">
        <v>29194.5106333463</v>
      </c>
      <c r="BU37" t="n">
        <v>4159056743.78866</v>
      </c>
      <c r="BV37" t="n">
        <v>0</v>
      </c>
      <c r="BW37" t="n">
        <v>396658424.718807</v>
      </c>
      <c r="BX37" t="n">
        <v>0</v>
      </c>
      <c r="BY37" t="n">
        <v>95232.8523393133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133</v>
      </c>
      <c r="B38" t="n">
        <v>234281.986420267</v>
      </c>
      <c r="C38" t="n">
        <v>0</v>
      </c>
      <c r="D38" t="n">
        <v>1.15744759719227</v>
      </c>
      <c r="E38" t="n">
        <v>0</v>
      </c>
      <c r="F38" t="n">
        <v>0</v>
      </c>
      <c r="G38" t="n">
        <v>1383099.01205425</v>
      </c>
      <c r="H38" t="n">
        <v>2907089.18222085</v>
      </c>
      <c r="I38" t="n">
        <v>0</v>
      </c>
      <c r="J38" t="n">
        <v>35023.4801392217</v>
      </c>
      <c r="K38" t="n">
        <v>0</v>
      </c>
      <c r="L38" t="n">
        <v>37264.3737519488</v>
      </c>
      <c r="M38" t="n">
        <v>305945.207139741</v>
      </c>
      <c r="N38" t="n">
        <v>4100.35524717453</v>
      </c>
      <c r="O38" t="n">
        <v>74200.9588440577</v>
      </c>
      <c r="P38" t="n">
        <v>284731.847547302</v>
      </c>
      <c r="Q38" t="n">
        <v>0</v>
      </c>
      <c r="R38" t="n">
        <v>76997.7619435875</v>
      </c>
      <c r="S38" t="n">
        <v>111213.102562974</v>
      </c>
      <c r="T38" t="n">
        <v>110378.427124552</v>
      </c>
      <c r="U38" t="n">
        <v>0</v>
      </c>
      <c r="V38" t="n">
        <v>0</v>
      </c>
      <c r="W38" t="n">
        <v>44105.172522209</v>
      </c>
      <c r="X38" t="n">
        <v>164612.642139108</v>
      </c>
      <c r="Y38" t="n">
        <v>7611.87262400338</v>
      </c>
      <c r="Z38" t="n">
        <v>619202.023631563</v>
      </c>
      <c r="AA38" t="n">
        <v>44903.9516048174</v>
      </c>
      <c r="AB38" t="n">
        <v>94441.6683631617</v>
      </c>
      <c r="AC38" t="n">
        <v>161766.54684758</v>
      </c>
      <c r="AD38" t="n">
        <v>342590.38382714</v>
      </c>
      <c r="AE38" t="n">
        <v>176960.251765652</v>
      </c>
      <c r="AF38" t="n">
        <v>532614.234511548</v>
      </c>
      <c r="AG38" t="n">
        <v>0</v>
      </c>
      <c r="AH38" t="n">
        <v>27462.8675356169</v>
      </c>
      <c r="AI38" t="n">
        <v>0</v>
      </c>
      <c r="AJ38" t="n">
        <v>2786419.63426101</v>
      </c>
      <c r="AK38" t="n">
        <v>63950.2355712603</v>
      </c>
      <c r="AL38" t="n">
        <v>0</v>
      </c>
      <c r="AM38" t="n">
        <v>380387.881649573</v>
      </c>
      <c r="AN38" t="n">
        <v>0</v>
      </c>
      <c r="AO38" t="n">
        <v>3929.78121400342</v>
      </c>
      <c r="AP38" t="n">
        <v>0</v>
      </c>
      <c r="AQ38" t="n">
        <v>0</v>
      </c>
      <c r="AR38" t="n">
        <v>7015.6495135467</v>
      </c>
      <c r="AS38" t="n">
        <v>25125.6267827248</v>
      </c>
      <c r="AT38" t="n">
        <v>9912.91259004408</v>
      </c>
      <c r="AU38" t="n">
        <v>8826.61780147831</v>
      </c>
      <c r="AV38" t="n">
        <v>0</v>
      </c>
      <c r="AW38" t="n">
        <v>835162.6902952</v>
      </c>
      <c r="AX38" t="n">
        <v>164063.424339955</v>
      </c>
      <c r="AY38" t="n">
        <v>27959.329481583</v>
      </c>
      <c r="AZ38" t="n">
        <v>0</v>
      </c>
      <c r="BA38" t="n">
        <v>6402.81423782028</v>
      </c>
      <c r="BB38" t="n">
        <v>42711.5768513768</v>
      </c>
      <c r="BC38" t="n">
        <v>0</v>
      </c>
      <c r="BD38" t="n">
        <v>1025263.80368098</v>
      </c>
      <c r="BE38" t="n">
        <v>0</v>
      </c>
      <c r="BF38" t="n">
        <v>62655.2562352236</v>
      </c>
      <c r="BG38" t="n">
        <v>25047.1951588425</v>
      </c>
      <c r="BH38" t="n">
        <v>30083.5092157296</v>
      </c>
      <c r="BI38" t="n">
        <v>12261.6765863008</v>
      </c>
      <c r="BJ38" t="n">
        <v>7805.77792299733</v>
      </c>
      <c r="BK38" t="n">
        <v>36063.1703307261</v>
      </c>
      <c r="BL38" t="n">
        <v>175671.535188961</v>
      </c>
      <c r="BM38" t="n">
        <v>636683.071522778</v>
      </c>
      <c r="BN38" t="n">
        <v>18731393.6456255</v>
      </c>
      <c r="BO38" t="n">
        <v>326169.788893911</v>
      </c>
      <c r="BP38" t="n">
        <v>0</v>
      </c>
      <c r="BQ38" t="n">
        <v>0</v>
      </c>
      <c r="BR38" t="n">
        <v>0</v>
      </c>
      <c r="BS38" t="n">
        <v>326863.935914651</v>
      </c>
      <c r="BT38" t="n">
        <v>0</v>
      </c>
      <c r="BU38" t="n">
        <v>3804492836.4371</v>
      </c>
      <c r="BV38" t="n">
        <v>0</v>
      </c>
      <c r="BW38" t="n">
        <v>3697180.77271091</v>
      </c>
      <c r="BX38" t="n">
        <v>15666.0202233513</v>
      </c>
      <c r="BY38" t="n">
        <v>123110.793011588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134</v>
      </c>
      <c r="B39" t="n">
        <v>12015.4106260212</v>
      </c>
      <c r="C39" t="n">
        <v>0</v>
      </c>
      <c r="D39" t="n">
        <v>0.224852194513982</v>
      </c>
      <c r="E39" t="n">
        <v>1323.73599869589</v>
      </c>
      <c r="F39" t="n">
        <v>94.5856892032306</v>
      </c>
      <c r="G39" t="n">
        <v>68333.1223561845</v>
      </c>
      <c r="H39" t="n">
        <v>420182.784888962</v>
      </c>
      <c r="I39" t="n">
        <v>6542.48221237913</v>
      </c>
      <c r="J39" t="n">
        <v>3742.12060516462</v>
      </c>
      <c r="K39" t="n">
        <v>1280.43240820025</v>
      </c>
      <c r="L39" t="n">
        <v>7963.10248447071</v>
      </c>
      <c r="M39" t="n">
        <v>56660.9987311122</v>
      </c>
      <c r="N39" t="n">
        <v>955.86932265509</v>
      </c>
      <c r="O39" t="n">
        <v>7928.07956004257</v>
      </c>
      <c r="P39" t="n">
        <v>116849.956924756</v>
      </c>
      <c r="Q39" t="n">
        <v>4257.75840801816</v>
      </c>
      <c r="R39" t="n">
        <v>9273.96781362794</v>
      </c>
      <c r="S39" t="n">
        <v>12766.5167971358</v>
      </c>
      <c r="T39" t="n">
        <v>18838.9663232023</v>
      </c>
      <c r="U39" t="n">
        <v>5055.70328990295</v>
      </c>
      <c r="V39" t="n">
        <v>0</v>
      </c>
      <c r="W39" t="n">
        <v>14565.7965454841</v>
      </c>
      <c r="X39" t="n">
        <v>10735.6612837283</v>
      </c>
      <c r="Y39" t="n">
        <v>295.744924957281</v>
      </c>
      <c r="Z39" t="n">
        <v>34671.7145540555</v>
      </c>
      <c r="AA39" t="n">
        <v>10467.9490477345</v>
      </c>
      <c r="AB39" t="n">
        <v>6880.03600655379</v>
      </c>
      <c r="AC39" t="n">
        <v>25140.5338061866</v>
      </c>
      <c r="AD39" t="n">
        <v>13915.7337986621</v>
      </c>
      <c r="AE39" t="n">
        <v>4201.66764185393</v>
      </c>
      <c r="AF39" t="n">
        <v>26092.0810864897</v>
      </c>
      <c r="AG39" t="n">
        <v>0</v>
      </c>
      <c r="AH39" t="n">
        <v>1600.52672311293</v>
      </c>
      <c r="AI39" t="n">
        <v>79.2384131681746</v>
      </c>
      <c r="AJ39" t="n">
        <v>153844.676676575</v>
      </c>
      <c r="AK39" t="n">
        <v>3194.5699827519</v>
      </c>
      <c r="AL39" t="n">
        <v>11.4834810941611</v>
      </c>
      <c r="AM39" t="n">
        <v>19560.7750207848</v>
      </c>
      <c r="AN39" t="n">
        <v>678.406969067034</v>
      </c>
      <c r="AO39" t="n">
        <v>381.710555221666</v>
      </c>
      <c r="AP39" t="n">
        <v>109.611010191328</v>
      </c>
      <c r="AQ39" t="n">
        <v>613.810181538553</v>
      </c>
      <c r="AR39" t="n">
        <v>340.724753519853</v>
      </c>
      <c r="AS39" t="n">
        <v>1830.39139342235</v>
      </c>
      <c r="AT39" t="n">
        <v>513.529978734506</v>
      </c>
      <c r="AU39" t="n">
        <v>514.412329580971</v>
      </c>
      <c r="AV39" t="n">
        <v>0</v>
      </c>
      <c r="AW39" t="n">
        <v>84241.7340717982</v>
      </c>
      <c r="AX39" t="n">
        <v>22744.9264281377</v>
      </c>
      <c r="AY39" t="n">
        <v>8509.40409734932</v>
      </c>
      <c r="AZ39" t="n">
        <v>181.704016544826</v>
      </c>
      <c r="BA39" t="n">
        <v>497.538492777261</v>
      </c>
      <c r="BB39" t="n">
        <v>6306.0148685832</v>
      </c>
      <c r="BC39" t="n">
        <v>0</v>
      </c>
      <c r="BD39" t="n">
        <v>87105.1831650124</v>
      </c>
      <c r="BE39" t="n">
        <v>1589.91302970841</v>
      </c>
      <c r="BF39" t="n">
        <v>6897.32944110573</v>
      </c>
      <c r="BG39" t="n">
        <v>2432.9035766058</v>
      </c>
      <c r="BH39" t="n">
        <v>935.070316064044</v>
      </c>
      <c r="BI39" t="n">
        <v>238.202135071905</v>
      </c>
      <c r="BJ39" t="n">
        <v>454.918123325592</v>
      </c>
      <c r="BK39" t="n">
        <v>350.291581651981</v>
      </c>
      <c r="BL39" t="n">
        <v>1405.22642527698</v>
      </c>
      <c r="BM39" t="n">
        <v>20391.4076379542</v>
      </c>
      <c r="BN39" t="n">
        <v>80285.1880541079</v>
      </c>
      <c r="BO39" t="n">
        <v>62632.4356337718</v>
      </c>
      <c r="BP39" t="n">
        <v>0</v>
      </c>
      <c r="BQ39" t="n">
        <v>587.541907348594</v>
      </c>
      <c r="BR39" t="n">
        <v>0</v>
      </c>
      <c r="BS39" t="n">
        <v>6984.82426537414</v>
      </c>
      <c r="BT39" t="n">
        <v>0</v>
      </c>
      <c r="BU39" t="n">
        <v>66178698.4595022</v>
      </c>
      <c r="BV39" t="n">
        <v>0</v>
      </c>
      <c r="BW39" t="n">
        <v>747980.820206206</v>
      </c>
      <c r="BX39" t="n">
        <v>200392.439722248</v>
      </c>
      <c r="BY39" t="n">
        <v>54505.0920077476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135</v>
      </c>
      <c r="B40" t="n">
        <v>5972845.07073046</v>
      </c>
      <c r="C40" t="n">
        <v>117481.18182754</v>
      </c>
      <c r="D40" t="n">
        <v>59.1986818005792</v>
      </c>
      <c r="E40" t="n">
        <v>988085.665492262</v>
      </c>
      <c r="F40" t="n">
        <v>10946.0880527914</v>
      </c>
      <c r="G40" t="n">
        <v>37365137.3481776</v>
      </c>
      <c r="H40" t="n">
        <v>862157868.867258</v>
      </c>
      <c r="I40" t="n">
        <v>6359974.0157716</v>
      </c>
      <c r="J40" t="n">
        <v>234247.824149935</v>
      </c>
      <c r="K40" t="n">
        <v>246349.574459297</v>
      </c>
      <c r="L40" t="n">
        <v>2023206.72409193</v>
      </c>
      <c r="M40" t="n">
        <v>17445333.6911024</v>
      </c>
      <c r="N40" t="n">
        <v>293602.817604793</v>
      </c>
      <c r="O40" t="n">
        <v>3736687.96495401</v>
      </c>
      <c r="P40" t="n">
        <v>23692656.8319763</v>
      </c>
      <c r="Q40" t="n">
        <v>517373.069604827</v>
      </c>
      <c r="R40" t="n">
        <v>3974470.54912538</v>
      </c>
      <c r="S40" t="n">
        <v>5441475.96321698</v>
      </c>
      <c r="T40" t="n">
        <v>6160312.67404567</v>
      </c>
      <c r="U40" t="n">
        <v>2935150.18457826</v>
      </c>
      <c r="V40" t="n">
        <v>11607.7972581894</v>
      </c>
      <c r="W40" t="n">
        <v>3296935.66353546</v>
      </c>
      <c r="X40" t="n">
        <v>7919654.88200346</v>
      </c>
      <c r="Y40" t="n">
        <v>437231.773299014</v>
      </c>
      <c r="Z40" t="n">
        <v>31000895.1277103</v>
      </c>
      <c r="AA40" t="n">
        <v>3568644.41882092</v>
      </c>
      <c r="AB40" t="n">
        <v>5192575.42137284</v>
      </c>
      <c r="AC40" t="n">
        <v>12983333.9697816</v>
      </c>
      <c r="AD40" t="n">
        <v>3970039.61024468</v>
      </c>
      <c r="AE40" t="n">
        <v>8370045.61998068</v>
      </c>
      <c r="AF40" t="n">
        <v>12918988.4560823</v>
      </c>
      <c r="AG40" t="n">
        <v>7792.27438456214</v>
      </c>
      <c r="AH40" t="n">
        <v>767134.610517481</v>
      </c>
      <c r="AI40" t="n">
        <v>1498836.28867293</v>
      </c>
      <c r="AJ40" t="n">
        <v>80976428.5532416</v>
      </c>
      <c r="AK40" t="n">
        <v>1622815.73299461</v>
      </c>
      <c r="AL40" t="n">
        <v>6511.83135328149</v>
      </c>
      <c r="AM40" t="n">
        <v>13469036.4577762</v>
      </c>
      <c r="AN40" t="n">
        <v>109913.703375478</v>
      </c>
      <c r="AO40" t="n">
        <v>194807.764900776</v>
      </c>
      <c r="AP40" t="n">
        <v>33297.9113483624</v>
      </c>
      <c r="AQ40" t="n">
        <v>132597.203544373</v>
      </c>
      <c r="AR40" t="n">
        <v>259455.621232878</v>
      </c>
      <c r="AS40" t="n">
        <v>1260359.48901866</v>
      </c>
      <c r="AT40" t="n">
        <v>392603.630358219</v>
      </c>
      <c r="AU40" t="n">
        <v>368101.454285429</v>
      </c>
      <c r="AV40" t="n">
        <v>0</v>
      </c>
      <c r="AW40" t="n">
        <v>39795846.1758023</v>
      </c>
      <c r="AX40" t="n">
        <v>6865501.94862705</v>
      </c>
      <c r="AY40" t="n">
        <v>1210003.93697048</v>
      </c>
      <c r="AZ40" t="n">
        <v>161915.62377755</v>
      </c>
      <c r="BA40" t="n">
        <v>272058.314878759</v>
      </c>
      <c r="BB40" t="n">
        <v>2386169.53091111</v>
      </c>
      <c r="BC40" t="n">
        <v>0</v>
      </c>
      <c r="BD40" t="n">
        <v>16263855.0414597</v>
      </c>
      <c r="BE40" t="n">
        <v>472254.759603847</v>
      </c>
      <c r="BF40" t="n">
        <v>712124.11900505</v>
      </c>
      <c r="BG40" t="n">
        <v>2867605.69936843</v>
      </c>
      <c r="BH40" t="n">
        <v>724347.996682228</v>
      </c>
      <c r="BI40" t="n">
        <v>723616.501916197</v>
      </c>
      <c r="BJ40" t="n">
        <v>343954.947035913</v>
      </c>
      <c r="BK40" t="n">
        <v>1099595.4948885</v>
      </c>
      <c r="BL40" t="n">
        <v>2723921.72930481</v>
      </c>
      <c r="BM40" t="n">
        <v>15828269.338944</v>
      </c>
      <c r="BN40" t="n">
        <v>62640665.452745</v>
      </c>
      <c r="BO40" t="n">
        <v>20689929.2115063</v>
      </c>
      <c r="BP40" t="n">
        <v>18560.7636610862</v>
      </c>
      <c r="BQ40" t="n">
        <v>364902.614261443</v>
      </c>
      <c r="BR40" t="n">
        <v>14533.2046920423</v>
      </c>
      <c r="BS40" t="n">
        <v>4719548.09777688</v>
      </c>
      <c r="BT40" t="n">
        <v>0</v>
      </c>
      <c r="BU40" t="n">
        <v>10744653588.2649</v>
      </c>
      <c r="BV40" t="n">
        <v>0</v>
      </c>
      <c r="BW40" t="n">
        <v>313704543.147313</v>
      </c>
      <c r="BX40" t="n">
        <v>109423586.08827</v>
      </c>
      <c r="BY40" t="n">
        <v>86123378.0251251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136</v>
      </c>
      <c r="B41" t="n">
        <v>346776.79251375</v>
      </c>
      <c r="C41" t="n">
        <v>4734.25062455421</v>
      </c>
      <c r="D41" t="n">
        <v>6.44243686919564</v>
      </c>
      <c r="E41" t="n">
        <v>83385.2578736447</v>
      </c>
      <c r="F41" t="n">
        <v>127336.135265258</v>
      </c>
      <c r="G41" t="n">
        <v>7666615.47293365</v>
      </c>
      <c r="H41" t="n">
        <v>2731896.76272601</v>
      </c>
      <c r="I41" t="n">
        <v>1477852.56749946</v>
      </c>
      <c r="J41" t="n">
        <v>2393774.24732728</v>
      </c>
      <c r="K41" t="n">
        <v>1544285.99810786</v>
      </c>
      <c r="L41" t="n">
        <v>4143417.37448057</v>
      </c>
      <c r="M41" t="n">
        <v>3228854.26951072</v>
      </c>
      <c r="N41" t="n">
        <v>139135.376850118</v>
      </c>
      <c r="O41" t="n">
        <v>670903.15813693</v>
      </c>
      <c r="P41" t="n">
        <v>5869258.12162935</v>
      </c>
      <c r="Q41" t="n">
        <v>653818.787049266</v>
      </c>
      <c r="R41" t="n">
        <v>822425.519063339</v>
      </c>
      <c r="S41" t="n">
        <v>923996.331530223</v>
      </c>
      <c r="T41" t="n">
        <v>2547651.75847734</v>
      </c>
      <c r="U41" t="n">
        <v>1316926.26185343</v>
      </c>
      <c r="V41" t="n">
        <v>28785.1657900395</v>
      </c>
      <c r="W41" t="n">
        <v>3701031.31559106</v>
      </c>
      <c r="X41" t="n">
        <v>1025892.18491008</v>
      </c>
      <c r="Y41" t="n">
        <v>138306.715411191</v>
      </c>
      <c r="Z41" t="n">
        <v>2031542.71691535</v>
      </c>
      <c r="AA41" t="n">
        <v>8756438.19186773</v>
      </c>
      <c r="AB41" t="n">
        <v>40978187.5495836</v>
      </c>
      <c r="AC41" t="n">
        <v>1187055.13323243</v>
      </c>
      <c r="AD41" t="n">
        <v>254863.038198687</v>
      </c>
      <c r="AE41" t="n">
        <v>563313.274694501</v>
      </c>
      <c r="AF41" t="n">
        <v>968855.962432154</v>
      </c>
      <c r="AG41" t="n">
        <v>158175.145201889</v>
      </c>
      <c r="AH41" t="n">
        <v>146123.300219869</v>
      </c>
      <c r="AI41" t="n">
        <v>196152.75746439</v>
      </c>
      <c r="AJ41" t="n">
        <v>7966290.02481577</v>
      </c>
      <c r="AK41" t="n">
        <v>28355.4897946982</v>
      </c>
      <c r="AL41" t="n">
        <v>3855.31762242918</v>
      </c>
      <c r="AM41" t="n">
        <v>3304387.13066499</v>
      </c>
      <c r="AN41" t="n">
        <v>1578951.59763119</v>
      </c>
      <c r="AO41" t="n">
        <v>928536.888232336</v>
      </c>
      <c r="AP41" t="n">
        <v>437068.921156861</v>
      </c>
      <c r="AQ41" t="n">
        <v>3114791.88065463</v>
      </c>
      <c r="AR41" t="n">
        <v>4085764.13083293</v>
      </c>
      <c r="AS41" t="n">
        <v>23875825.649712</v>
      </c>
      <c r="AT41" t="n">
        <v>5583858.69465106</v>
      </c>
      <c r="AU41" t="n">
        <v>603791.911672872</v>
      </c>
      <c r="AV41" t="n">
        <v>1861979.25615416</v>
      </c>
      <c r="AW41" t="n">
        <v>53510.9783725135</v>
      </c>
      <c r="AX41" t="n">
        <v>48307135.0961543</v>
      </c>
      <c r="AY41" t="n">
        <v>6523380.07507954</v>
      </c>
      <c r="AZ41" t="n">
        <v>4350480.11841729</v>
      </c>
      <c r="BA41" t="n">
        <v>12666224.0004908</v>
      </c>
      <c r="BB41" t="n">
        <v>22514019.0524864</v>
      </c>
      <c r="BC41" t="n">
        <v>1599924.99322587</v>
      </c>
      <c r="BD41" t="n">
        <v>37227470.2037284</v>
      </c>
      <c r="BE41" t="n">
        <v>6705337.02719764</v>
      </c>
      <c r="BF41" t="n">
        <v>2570437.73611921</v>
      </c>
      <c r="BG41" t="n">
        <v>21060429.1717698</v>
      </c>
      <c r="BH41" t="n">
        <v>1019929.53661313</v>
      </c>
      <c r="BI41" t="n">
        <v>1924761.29945033</v>
      </c>
      <c r="BJ41" t="n">
        <v>2779098.14168442</v>
      </c>
      <c r="BK41" t="n">
        <v>308961.975659765</v>
      </c>
      <c r="BL41" t="n">
        <v>871926.916613494</v>
      </c>
      <c r="BM41" t="n">
        <v>1699477.10465807</v>
      </c>
      <c r="BN41" t="n">
        <v>15523524.4353034</v>
      </c>
      <c r="BO41" t="n">
        <v>4354405.18868949</v>
      </c>
      <c r="BP41" t="n">
        <v>25865228.9543803</v>
      </c>
      <c r="BQ41" t="n">
        <v>15132430.4389463</v>
      </c>
      <c r="BR41" t="n">
        <v>1015834.53259854</v>
      </c>
      <c r="BS41" t="n">
        <v>27121218.5484602</v>
      </c>
      <c r="BT41" t="n">
        <v>394632.045089866</v>
      </c>
      <c r="BU41" t="n">
        <v>543105947.323088</v>
      </c>
      <c r="BV41" t="n">
        <v>0</v>
      </c>
      <c r="BW41" t="n">
        <v>296151.57413929</v>
      </c>
      <c r="BX41" t="n">
        <v>35507.9693483333</v>
      </c>
      <c r="BY41" t="n">
        <v>15586.6147761811</v>
      </c>
      <c r="BZ41" t="n">
        <v>53608.0754537899</v>
      </c>
      <c r="CA41" t="n">
        <v>92416351.1137816</v>
      </c>
      <c r="CB41" t="n">
        <v>-520798734.836713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89771.8048804497</v>
      </c>
      <c r="CN41" t="n">
        <v>25649.0871086999</v>
      </c>
    </row>
    <row r="42">
      <c r="A42" t="s">
        <v>137</v>
      </c>
      <c r="B42" t="n">
        <v>5915983.62310341</v>
      </c>
      <c r="C42" t="n">
        <v>148841.432274134</v>
      </c>
      <c r="D42" t="n">
        <v>267.119263551142</v>
      </c>
      <c r="E42" t="n">
        <v>4449382.7048752</v>
      </c>
      <c r="F42" t="n">
        <v>81127.9192093287</v>
      </c>
      <c r="G42" t="n">
        <v>21260994.0653476</v>
      </c>
      <c r="H42" t="n">
        <v>17242916.8607483</v>
      </c>
      <c r="I42" t="n">
        <v>9862284.09214101</v>
      </c>
      <c r="J42" t="n">
        <v>18522412.9260465</v>
      </c>
      <c r="K42" t="n">
        <v>24254213.742988</v>
      </c>
      <c r="L42" t="n">
        <v>10104518.1136338</v>
      </c>
      <c r="M42" t="n">
        <v>6059287.15676198</v>
      </c>
      <c r="N42" t="n">
        <v>171681.559989373</v>
      </c>
      <c r="O42" t="n">
        <v>5011545.67186703</v>
      </c>
      <c r="P42" t="n">
        <v>22690260.5889683</v>
      </c>
      <c r="Q42" t="n">
        <v>1667448.76846601</v>
      </c>
      <c r="R42" t="n">
        <v>2110880.61397124</v>
      </c>
      <c r="S42" t="n">
        <v>1315305.56863452</v>
      </c>
      <c r="T42" t="n">
        <v>25414519.6919988</v>
      </c>
      <c r="U42" t="n">
        <v>3329493.22601024</v>
      </c>
      <c r="V42" t="n">
        <v>14706.3652457374</v>
      </c>
      <c r="W42" t="n">
        <v>55444374.3879352</v>
      </c>
      <c r="X42" t="n">
        <v>615385.599295863</v>
      </c>
      <c r="Y42" t="n">
        <v>3578831.12813143</v>
      </c>
      <c r="Z42" t="n">
        <v>28812653.2293132</v>
      </c>
      <c r="AA42" t="n">
        <v>40624129.7388747</v>
      </c>
      <c r="AB42" t="n">
        <v>1853561.91436392</v>
      </c>
      <c r="AC42" t="n">
        <v>241898.318584049</v>
      </c>
      <c r="AD42" t="n">
        <v>892633.554431853</v>
      </c>
      <c r="AE42" t="n">
        <v>372425.744546661</v>
      </c>
      <c r="AF42" t="n">
        <v>675248.579354064</v>
      </c>
      <c r="AG42" t="n">
        <v>166842.417894453</v>
      </c>
      <c r="AH42" t="n">
        <v>831601.079449925</v>
      </c>
      <c r="AI42" t="n">
        <v>52861.1010485654</v>
      </c>
      <c r="AJ42" t="n">
        <v>29465838.5100423</v>
      </c>
      <c r="AK42" t="n">
        <v>36429.8158213377</v>
      </c>
      <c r="AL42" t="n">
        <v>2651.81459351738</v>
      </c>
      <c r="AM42" t="n">
        <v>1466649.65434799</v>
      </c>
      <c r="AN42" t="n">
        <v>348134.756189641</v>
      </c>
      <c r="AO42" t="n">
        <v>62681.7669682172</v>
      </c>
      <c r="AP42" t="n">
        <v>11249.7082278315</v>
      </c>
      <c r="AQ42" t="n">
        <v>1669425.49014455</v>
      </c>
      <c r="AR42" t="n">
        <v>94417.9417040332</v>
      </c>
      <c r="AS42" t="n">
        <v>219168.347503822</v>
      </c>
      <c r="AT42" t="n">
        <v>74116.5875927885</v>
      </c>
      <c r="AU42" t="n">
        <v>598351.122514812</v>
      </c>
      <c r="AV42" t="n">
        <v>18887.1924034151</v>
      </c>
      <c r="AW42" t="n">
        <v>456315.768571606</v>
      </c>
      <c r="AX42" t="n">
        <v>1167190.16426092</v>
      </c>
      <c r="AY42" t="n">
        <v>353054.67737445</v>
      </c>
      <c r="AZ42" t="n">
        <v>172501.683809623</v>
      </c>
      <c r="BA42" t="n">
        <v>140425.655066453</v>
      </c>
      <c r="BB42" t="n">
        <v>3176415.51318627</v>
      </c>
      <c r="BC42" t="n">
        <v>133176.510724619</v>
      </c>
      <c r="BD42" t="n">
        <v>4251888.1495264</v>
      </c>
      <c r="BE42" t="n">
        <v>761495.30127425</v>
      </c>
      <c r="BF42" t="n">
        <v>235964.567270605</v>
      </c>
      <c r="BG42" t="n">
        <v>2578113.51559414</v>
      </c>
      <c r="BH42" t="n">
        <v>674782.620839039</v>
      </c>
      <c r="BI42" t="n">
        <v>519507.309760391</v>
      </c>
      <c r="BJ42" t="n">
        <v>961027.963089686</v>
      </c>
      <c r="BK42" t="n">
        <v>38198.4479611822</v>
      </c>
      <c r="BL42" t="n">
        <v>437818.673611257</v>
      </c>
      <c r="BM42" t="n">
        <v>1235113.73354579</v>
      </c>
      <c r="BN42" t="n">
        <v>6594740.85207705</v>
      </c>
      <c r="BO42" t="n">
        <v>1081781.04557087</v>
      </c>
      <c r="BP42" t="n">
        <v>2063471.61766535</v>
      </c>
      <c r="BQ42" t="n">
        <v>5608011.24496064</v>
      </c>
      <c r="BR42" t="n">
        <v>4621581.8144656</v>
      </c>
      <c r="BS42" t="n">
        <v>19037880.7721834</v>
      </c>
      <c r="BT42" t="n">
        <v>10268894.2900307</v>
      </c>
      <c r="BU42" t="n">
        <v>43531171.6006078</v>
      </c>
      <c r="BV42" t="n">
        <v>0</v>
      </c>
      <c r="BW42" t="n">
        <v>13126055.1963301</v>
      </c>
      <c r="BX42" t="n">
        <v>0</v>
      </c>
      <c r="BY42" t="n">
        <v>199075.479880828</v>
      </c>
      <c r="BZ42" t="n">
        <v>4012225.87194905</v>
      </c>
      <c r="CA42" t="n">
        <v>85239189.029575</v>
      </c>
      <c r="CB42" t="n">
        <v>2981759.86445958</v>
      </c>
      <c r="CC42" t="n">
        <v>0</v>
      </c>
      <c r="CD42" t="n">
        <v>0</v>
      </c>
      <c r="CE42" t="n">
        <v>1338977.47472066</v>
      </c>
      <c r="CF42" t="n">
        <v>0</v>
      </c>
      <c r="CG42" t="n">
        <v>0</v>
      </c>
      <c r="CH42" t="n">
        <v>0</v>
      </c>
      <c r="CI42" t="n">
        <v>1964485.2001376</v>
      </c>
      <c r="CJ42" t="n">
        <v>0</v>
      </c>
      <c r="CK42" t="n">
        <v>0</v>
      </c>
      <c r="CL42" t="n">
        <v>0</v>
      </c>
      <c r="CM42" t="n">
        <v>4294020.56442847</v>
      </c>
      <c r="CN42" t="n">
        <v>0</v>
      </c>
    </row>
    <row r="43">
      <c r="A43" t="s">
        <v>138</v>
      </c>
      <c r="B43" t="n">
        <v>1039639.28211623</v>
      </c>
      <c r="C43" t="n">
        <v>38542.4103762006</v>
      </c>
      <c r="D43" t="n">
        <v>105.772435888402</v>
      </c>
      <c r="E43" t="n">
        <v>727484.963229107</v>
      </c>
      <c r="F43" t="n">
        <v>23432.0355648561</v>
      </c>
      <c r="G43" t="n">
        <v>1659591.26037501</v>
      </c>
      <c r="H43" t="n">
        <v>5488395.73709385</v>
      </c>
      <c r="I43" t="n">
        <v>65204.2535357083</v>
      </c>
      <c r="J43" t="n">
        <v>2034275.2833474</v>
      </c>
      <c r="K43" t="n">
        <v>2647939.97276651</v>
      </c>
      <c r="L43" t="n">
        <v>916276.857677807</v>
      </c>
      <c r="M43" t="n">
        <v>458078.125965782</v>
      </c>
      <c r="N43" t="n">
        <v>26991.6585644702</v>
      </c>
      <c r="O43" t="n">
        <v>790135.139696924</v>
      </c>
      <c r="P43" t="n">
        <v>978506.180846018</v>
      </c>
      <c r="Q43" t="n">
        <v>98268.3055757468</v>
      </c>
      <c r="R43" t="n">
        <v>71556.4042738273</v>
      </c>
      <c r="S43" t="n">
        <v>203575.62673892</v>
      </c>
      <c r="T43" t="n">
        <v>2753733.24939978</v>
      </c>
      <c r="U43" t="n">
        <v>940549.652320779</v>
      </c>
      <c r="V43" t="n">
        <v>0</v>
      </c>
      <c r="W43" t="n">
        <v>2373905.85101838</v>
      </c>
      <c r="X43" t="n">
        <v>4552.96503807987</v>
      </c>
      <c r="Y43" t="n">
        <v>114951.669912182</v>
      </c>
      <c r="Z43" t="n">
        <v>3403767.77658139</v>
      </c>
      <c r="AA43" t="n">
        <v>2416899.13796041</v>
      </c>
      <c r="AB43" t="n">
        <v>109709.458286598</v>
      </c>
      <c r="AC43" t="n">
        <v>68333.9367276154</v>
      </c>
      <c r="AD43" t="n">
        <v>90448.8214194529</v>
      </c>
      <c r="AE43" t="n">
        <v>38068.2039878115</v>
      </c>
      <c r="AF43" t="n">
        <v>94152.8341611943</v>
      </c>
      <c r="AG43" t="n">
        <v>16105.5422175459</v>
      </c>
      <c r="AH43" t="n">
        <v>29244.0650562705</v>
      </c>
      <c r="AI43" t="n">
        <v>4738.27646535339</v>
      </c>
      <c r="AJ43" t="n">
        <v>92924.857990888</v>
      </c>
      <c r="AK43" t="n">
        <v>1768.7777982864</v>
      </c>
      <c r="AL43" t="n">
        <v>1144.47665034447</v>
      </c>
      <c r="AM43" t="n">
        <v>38989.6584326026</v>
      </c>
      <c r="AN43" t="n">
        <v>27044.7934441399</v>
      </c>
      <c r="AO43" t="n">
        <v>3043.38946742096</v>
      </c>
      <c r="AP43" t="n">
        <v>0</v>
      </c>
      <c r="AQ43" t="n">
        <v>77487.1712409198</v>
      </c>
      <c r="AR43" t="n">
        <v>14941.3465669651</v>
      </c>
      <c r="AS43" t="n">
        <v>12161.4702811589</v>
      </c>
      <c r="AT43" t="n">
        <v>2558.99350159756</v>
      </c>
      <c r="AU43" t="n">
        <v>0</v>
      </c>
      <c r="AV43" t="n">
        <v>2934.49710612542</v>
      </c>
      <c r="AW43" t="n">
        <v>68410.0001739765</v>
      </c>
      <c r="AX43" t="n">
        <v>135720.707351118</v>
      </c>
      <c r="AY43" t="n">
        <v>39696.9689698866</v>
      </c>
      <c r="AZ43" t="n">
        <v>0</v>
      </c>
      <c r="BA43" t="n">
        <v>19834.4450767871</v>
      </c>
      <c r="BB43" t="n">
        <v>4981495.45249008</v>
      </c>
      <c r="BC43" t="n">
        <v>307500.052568276</v>
      </c>
      <c r="BD43" t="n">
        <v>767540.904140099</v>
      </c>
      <c r="BE43" t="n">
        <v>179582.663144328</v>
      </c>
      <c r="BF43" t="n">
        <v>921934.935787705</v>
      </c>
      <c r="BG43" t="n">
        <v>800151.481361877</v>
      </c>
      <c r="BH43" t="n">
        <v>442660.99611736</v>
      </c>
      <c r="BI43" t="n">
        <v>42731.8339229989</v>
      </c>
      <c r="BJ43" t="n">
        <v>45338.4444747675</v>
      </c>
      <c r="BK43" t="n">
        <v>5236.65950323331</v>
      </c>
      <c r="BL43" t="n">
        <v>48016.7638264104</v>
      </c>
      <c r="BM43" t="n">
        <v>59968.5093377507</v>
      </c>
      <c r="BN43" t="n">
        <v>360474.971937619</v>
      </c>
      <c r="BO43" t="n">
        <v>184592.115311411</v>
      </c>
      <c r="BP43" t="n">
        <v>7832344.71042337</v>
      </c>
      <c r="BQ43" t="n">
        <v>901764.109994384</v>
      </c>
      <c r="BR43" t="n">
        <v>3289887.48767925</v>
      </c>
      <c r="BS43" t="n">
        <v>4334976.49668046</v>
      </c>
      <c r="BT43" t="n">
        <v>949597.694080236</v>
      </c>
      <c r="BU43" t="n">
        <v>107530357.773993</v>
      </c>
      <c r="BV43" t="n">
        <v>0</v>
      </c>
      <c r="BW43" t="n">
        <v>8070.19973877673</v>
      </c>
      <c r="BX43" t="n">
        <v>0</v>
      </c>
      <c r="BY43" t="n">
        <v>0</v>
      </c>
      <c r="BZ43" t="n">
        <v>258432.306387874</v>
      </c>
      <c r="CA43" t="n">
        <v>25451413.9161993</v>
      </c>
      <c r="CB43" t="n">
        <v>54234195.5989808</v>
      </c>
      <c r="CC43" t="n">
        <v>0</v>
      </c>
      <c r="CD43" t="n">
        <v>0</v>
      </c>
      <c r="CE43" t="n">
        <v>22777.7196870858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139</v>
      </c>
      <c r="B44" t="n">
        <v>16570426.1542156</v>
      </c>
      <c r="C44" t="n">
        <v>1715925.04648311</v>
      </c>
      <c r="D44" t="n">
        <v>505.414724773552</v>
      </c>
      <c r="E44" t="n">
        <v>4178785.37707473</v>
      </c>
      <c r="F44" t="n">
        <v>204013.446681193</v>
      </c>
      <c r="G44" t="n">
        <v>10713244.5963414</v>
      </c>
      <c r="H44" t="n">
        <v>134882091.266778</v>
      </c>
      <c r="I44" t="n">
        <v>19461843.4006826</v>
      </c>
      <c r="J44" t="n">
        <v>26287341.1677721</v>
      </c>
      <c r="K44" t="n">
        <v>48318451.3891695</v>
      </c>
      <c r="L44" t="n">
        <v>32254421.3643365</v>
      </c>
      <c r="M44" t="n">
        <v>33287817.2196054</v>
      </c>
      <c r="N44" t="n">
        <v>2067647.11073699</v>
      </c>
      <c r="O44" t="n">
        <v>21749486.2629016</v>
      </c>
      <c r="P44" t="n">
        <v>105610221.817238</v>
      </c>
      <c r="Q44" t="n">
        <v>8398107.88770108</v>
      </c>
      <c r="R44" t="n">
        <v>7412413.62315691</v>
      </c>
      <c r="S44" t="n">
        <v>6029091.74899186</v>
      </c>
      <c r="T44" t="n">
        <v>97312200.1317181</v>
      </c>
      <c r="U44" t="n">
        <v>28174164.7293524</v>
      </c>
      <c r="V44" t="n">
        <v>836730.441574969</v>
      </c>
      <c r="W44" t="n">
        <v>61118526.6140124</v>
      </c>
      <c r="X44" t="n">
        <v>3380236.68952808</v>
      </c>
      <c r="Y44" t="n">
        <v>5970463.84558058</v>
      </c>
      <c r="Z44" t="n">
        <v>36290638.9348694</v>
      </c>
      <c r="AA44" t="n">
        <v>52212143.0951515</v>
      </c>
      <c r="AB44" t="n">
        <v>33694882.4009973</v>
      </c>
      <c r="AC44" t="n">
        <v>12940303.9581246</v>
      </c>
      <c r="AD44" t="n">
        <v>9135023.66269185</v>
      </c>
      <c r="AE44" t="n">
        <v>8318429.48415171</v>
      </c>
      <c r="AF44" t="n">
        <v>27726676.0998302</v>
      </c>
      <c r="AG44" t="n">
        <v>1525038.4104469</v>
      </c>
      <c r="AH44" t="n">
        <v>1170929.24396748</v>
      </c>
      <c r="AI44" t="n">
        <v>375550.690216749</v>
      </c>
      <c r="AJ44" t="n">
        <v>57159993.2685112</v>
      </c>
      <c r="AK44" t="n">
        <v>275946.409702037</v>
      </c>
      <c r="AL44" t="n">
        <v>30542.8563395852</v>
      </c>
      <c r="AM44" t="n">
        <v>17463767.0535784</v>
      </c>
      <c r="AN44" t="n">
        <v>8845499.15022533</v>
      </c>
      <c r="AO44" t="n">
        <v>1250352.64044297</v>
      </c>
      <c r="AP44" t="n">
        <v>219199.030529178</v>
      </c>
      <c r="AQ44" t="n">
        <v>5707836.04371598</v>
      </c>
      <c r="AR44" t="n">
        <v>1469051.06136545</v>
      </c>
      <c r="AS44" t="n">
        <v>680834.191658151</v>
      </c>
      <c r="AT44" t="n">
        <v>260589.133311369</v>
      </c>
      <c r="AU44" t="n">
        <v>956706.592502084</v>
      </c>
      <c r="AV44" t="n">
        <v>108932.252943704</v>
      </c>
      <c r="AW44" t="n">
        <v>792413.203886197</v>
      </c>
      <c r="AX44" t="n">
        <v>3128910.12186177</v>
      </c>
      <c r="AY44" t="n">
        <v>2375141.99351714</v>
      </c>
      <c r="AZ44" t="n">
        <v>530520.086736969</v>
      </c>
      <c r="BA44" t="n">
        <v>1387986.82114976</v>
      </c>
      <c r="BB44" t="n">
        <v>14120673.357516</v>
      </c>
      <c r="BC44" t="n">
        <v>1009137.9465248</v>
      </c>
      <c r="BD44" t="n">
        <v>11726102.1298833</v>
      </c>
      <c r="BE44" t="n">
        <v>6019839.30463239</v>
      </c>
      <c r="BF44" t="n">
        <v>1368503.01770691</v>
      </c>
      <c r="BG44" t="n">
        <v>9336504.70336135</v>
      </c>
      <c r="BH44" t="n">
        <v>4656161.83024127</v>
      </c>
      <c r="BI44" t="n">
        <v>2519914.29746998</v>
      </c>
      <c r="BJ44" t="n">
        <v>3256872.17840661</v>
      </c>
      <c r="BK44" t="n">
        <v>373021.4115327</v>
      </c>
      <c r="BL44" t="n">
        <v>2962709.55853134</v>
      </c>
      <c r="BM44" t="n">
        <v>4672819.39735077</v>
      </c>
      <c r="BN44" t="n">
        <v>19184229.8040636</v>
      </c>
      <c r="BO44" t="n">
        <v>10531867.6546524</v>
      </c>
      <c r="BP44" t="n">
        <v>33095302.8565164</v>
      </c>
      <c r="BQ44" t="n">
        <v>3282056.56308148</v>
      </c>
      <c r="BR44" t="n">
        <v>4380563.27997338</v>
      </c>
      <c r="BS44" t="n">
        <v>42990259.4042654</v>
      </c>
      <c r="BT44" t="n">
        <v>6971417.67978135</v>
      </c>
      <c r="BU44" t="n">
        <v>381239962.387134</v>
      </c>
      <c r="BV44" t="n">
        <v>79751.2789315436</v>
      </c>
      <c r="BW44" t="n">
        <v>121663517.03416</v>
      </c>
      <c r="BX44" t="n">
        <v>4678373.00763759</v>
      </c>
      <c r="BY44" t="n">
        <v>2888332.23092718</v>
      </c>
      <c r="BZ44" t="n">
        <v>20190365.4495024</v>
      </c>
      <c r="CA44" t="n">
        <v>438352904.647229</v>
      </c>
      <c r="CB44" t="n">
        <v>71284163.2779537</v>
      </c>
      <c r="CC44" t="n">
        <v>0</v>
      </c>
      <c r="CD44" t="n">
        <v>0</v>
      </c>
      <c r="CE44" t="n">
        <v>6284402.80872551</v>
      </c>
      <c r="CF44" t="n">
        <v>281845.944148902</v>
      </c>
      <c r="CG44" t="n">
        <v>0</v>
      </c>
      <c r="CH44" t="n">
        <v>0</v>
      </c>
      <c r="CI44" t="n">
        <v>5017894.40098057</v>
      </c>
      <c r="CJ44" t="n">
        <v>350403.065698635</v>
      </c>
      <c r="CK44" t="n">
        <v>0</v>
      </c>
      <c r="CL44" t="n">
        <v>0</v>
      </c>
      <c r="CM44" t="n">
        <v>5237458.84559654</v>
      </c>
      <c r="CN44" t="n">
        <v>481846.213794882</v>
      </c>
    </row>
    <row r="45">
      <c r="A45" t="s">
        <v>140</v>
      </c>
      <c r="B45" t="n">
        <v>0</v>
      </c>
      <c r="C45" t="n">
        <v>12441.9863001594</v>
      </c>
      <c r="D45" t="n">
        <v>1.15744759719227</v>
      </c>
      <c r="E45" t="n">
        <v>48671.8160510228</v>
      </c>
      <c r="F45" t="n">
        <v>108506.610713481</v>
      </c>
      <c r="G45" t="n">
        <v>17963211.8602602</v>
      </c>
      <c r="H45" t="n">
        <v>8248343.94764098</v>
      </c>
      <c r="I45" t="n">
        <v>1347121.44264538</v>
      </c>
      <c r="J45" t="n">
        <v>1996338.36793564</v>
      </c>
      <c r="K45" t="n">
        <v>1400618.30931384</v>
      </c>
      <c r="L45" t="n">
        <v>3707805.18831891</v>
      </c>
      <c r="M45" t="n">
        <v>2855488.59997092</v>
      </c>
      <c r="N45" t="n">
        <v>98408.5259321887</v>
      </c>
      <c r="O45" t="n">
        <v>519406.711908404</v>
      </c>
      <c r="P45" t="n">
        <v>4413343.63698319</v>
      </c>
      <c r="Q45" t="n">
        <v>438344.1530947</v>
      </c>
      <c r="R45" t="n">
        <v>739178.51465844</v>
      </c>
      <c r="S45" t="n">
        <v>909925.384606147</v>
      </c>
      <c r="T45" t="n">
        <v>1758170.66062679</v>
      </c>
      <c r="U45" t="n">
        <v>780741.095855929</v>
      </c>
      <c r="V45" t="n">
        <v>14752.0532784663</v>
      </c>
      <c r="W45" t="n">
        <v>3219677.59412126</v>
      </c>
      <c r="X45" t="n">
        <v>905369.531765096</v>
      </c>
      <c r="Y45" t="n">
        <v>114178.089360051</v>
      </c>
      <c r="Z45" t="n">
        <v>1493369.58640553</v>
      </c>
      <c r="AA45" t="n">
        <v>7229536.20837561</v>
      </c>
      <c r="AB45" t="n">
        <v>18746671.1700876</v>
      </c>
      <c r="AC45" t="n">
        <v>1779432.01532338</v>
      </c>
      <c r="AD45" t="n">
        <v>93433.7410437654</v>
      </c>
      <c r="AE45" t="n">
        <v>570205.255689324</v>
      </c>
      <c r="AF45" t="n">
        <v>1725206.9770048</v>
      </c>
      <c r="AG45" t="n">
        <v>1980.6005278114</v>
      </c>
      <c r="AH45" t="n">
        <v>2155835.10154592</v>
      </c>
      <c r="AI45" t="n">
        <v>0</v>
      </c>
      <c r="AJ45" t="n">
        <v>0</v>
      </c>
      <c r="AK45" t="n">
        <v>0</v>
      </c>
      <c r="AL45" t="n">
        <v>2364.49150582128</v>
      </c>
      <c r="AM45" t="n">
        <v>1935503.04486401</v>
      </c>
      <c r="AN45" t="n">
        <v>104764.890282132</v>
      </c>
      <c r="AO45" t="n">
        <v>990304.865928862</v>
      </c>
      <c r="AP45" t="n">
        <v>442922.807611942</v>
      </c>
      <c r="AQ45" t="n">
        <v>6055986.31494371</v>
      </c>
      <c r="AR45" t="n">
        <v>5068806.77353749</v>
      </c>
      <c r="AS45" t="n">
        <v>29145727.0679607</v>
      </c>
      <c r="AT45" t="n">
        <v>6033659.46314016</v>
      </c>
      <c r="AU45" t="n">
        <v>10997965.780642</v>
      </c>
      <c r="AV45" t="n">
        <v>1970370.37037037</v>
      </c>
      <c r="AW45" t="n">
        <v>96364.9258032924</v>
      </c>
      <c r="AX45" t="n">
        <v>57660836.227115</v>
      </c>
      <c r="AY45" t="n">
        <v>9282497.38788557</v>
      </c>
      <c r="AZ45" t="n">
        <v>6060992.41403318</v>
      </c>
      <c r="BA45" t="n">
        <v>15635672.3687571</v>
      </c>
      <c r="BB45" t="n">
        <v>40960402.2004704</v>
      </c>
      <c r="BC45" t="n">
        <v>1951901.95817369</v>
      </c>
      <c r="BD45" t="n">
        <v>48392451.5337423</v>
      </c>
      <c r="BE45" t="n">
        <v>6792906.98747876</v>
      </c>
      <c r="BF45" t="n">
        <v>3654889.94705471</v>
      </c>
      <c r="BG45" t="n">
        <v>31459277.1195062</v>
      </c>
      <c r="BH45" t="n">
        <v>20426702.7574804</v>
      </c>
      <c r="BI45" t="n">
        <v>8362463.43185716</v>
      </c>
      <c r="BJ45" t="n">
        <v>2591518.27043511</v>
      </c>
      <c r="BK45" t="n">
        <v>11152535.4247771</v>
      </c>
      <c r="BL45" t="n">
        <v>940359.394246794</v>
      </c>
      <c r="BM45" t="n">
        <v>2288617.52736566</v>
      </c>
      <c r="BN45" t="n">
        <v>18026145.3908956</v>
      </c>
      <c r="BO45" t="n">
        <v>4440927.12570941</v>
      </c>
      <c r="BP45" t="n">
        <v>672269.423502325</v>
      </c>
      <c r="BQ45" t="n">
        <v>70569.9551159557</v>
      </c>
      <c r="BR45" t="n">
        <v>193933.728693647</v>
      </c>
      <c r="BS45" t="n">
        <v>294765897.407832</v>
      </c>
      <c r="BT45" t="n">
        <v>9867744.59407105</v>
      </c>
      <c r="BU45" t="n">
        <v>608964123.669194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141</v>
      </c>
      <c r="B46" t="n">
        <v>254091.565542453</v>
      </c>
      <c r="C46" t="n">
        <v>13126.4701582914</v>
      </c>
      <c r="D46" t="n">
        <v>1586.97204696639</v>
      </c>
      <c r="E46" t="n">
        <v>147886.413111867</v>
      </c>
      <c r="F46" t="n">
        <v>7338.20494175418</v>
      </c>
      <c r="G46" t="n">
        <v>26074444.0476086</v>
      </c>
      <c r="H46" t="n">
        <v>1370620.36989114</v>
      </c>
      <c r="I46" t="n">
        <v>57737.5511203752</v>
      </c>
      <c r="J46" t="n">
        <v>40645.2893754775</v>
      </c>
      <c r="K46" t="n">
        <v>55630.0036778202</v>
      </c>
      <c r="L46" t="n">
        <v>78628.8745577717</v>
      </c>
      <c r="M46" t="n">
        <v>68858.98393319</v>
      </c>
      <c r="N46" t="n">
        <v>2595.55939824851</v>
      </c>
      <c r="O46" t="n">
        <v>54798.1370450036</v>
      </c>
      <c r="P46" t="n">
        <v>52569.3166437554</v>
      </c>
      <c r="Q46" t="n">
        <v>7301.98789364995</v>
      </c>
      <c r="R46" t="n">
        <v>16246.7438883899</v>
      </c>
      <c r="S46" t="n">
        <v>36266.0641379305</v>
      </c>
      <c r="T46" t="n">
        <v>88169.8836104918</v>
      </c>
      <c r="U46" t="n">
        <v>146434.277884082</v>
      </c>
      <c r="V46" t="n">
        <v>0</v>
      </c>
      <c r="W46" t="n">
        <v>269883.140717137</v>
      </c>
      <c r="X46" t="n">
        <v>22328.8261252712</v>
      </c>
      <c r="Y46" t="n">
        <v>9156527.11245012</v>
      </c>
      <c r="Z46" t="n">
        <v>1060597.90387686</v>
      </c>
      <c r="AA46" t="n">
        <v>189497.196511925</v>
      </c>
      <c r="AB46" t="n">
        <v>231656.688842107</v>
      </c>
      <c r="AC46" t="n">
        <v>49648.2842665174</v>
      </c>
      <c r="AD46" t="n">
        <v>29572.1724168624</v>
      </c>
      <c r="AE46" t="n">
        <v>20743.9498982374</v>
      </c>
      <c r="AF46" t="n">
        <v>83065.7684050134</v>
      </c>
      <c r="AG46" t="n">
        <v>230269.661069104</v>
      </c>
      <c r="AH46" t="n">
        <v>136176.440128776</v>
      </c>
      <c r="AI46" t="n">
        <v>67991.606161999</v>
      </c>
      <c r="AJ46" t="n">
        <v>973339.989810015</v>
      </c>
      <c r="AK46" t="n">
        <v>24095.855717619</v>
      </c>
      <c r="AL46" t="n">
        <v>623.642930516223</v>
      </c>
      <c r="AM46" t="n">
        <v>479216.790389206</v>
      </c>
      <c r="AN46" t="n">
        <v>272636.792827717</v>
      </c>
      <c r="AO46" t="n">
        <v>6633.55893051503</v>
      </c>
      <c r="AP46" t="n">
        <v>1190.54720519061</v>
      </c>
      <c r="AQ46" t="n">
        <v>20000.819120434</v>
      </c>
      <c r="AR46" t="n">
        <v>9622.09130331941</v>
      </c>
      <c r="AS46" t="n">
        <v>123261.683247412</v>
      </c>
      <c r="AT46" t="n">
        <v>45319.1349040699</v>
      </c>
      <c r="AU46" t="n">
        <v>3724.882261549</v>
      </c>
      <c r="AV46" t="n">
        <v>25584.8417605321</v>
      </c>
      <c r="AW46" t="n">
        <v>13555.5132151922</v>
      </c>
      <c r="AX46" t="n">
        <v>171515.676835541</v>
      </c>
      <c r="AY46" t="n">
        <v>64894.4669693533</v>
      </c>
      <c r="AZ46" t="n">
        <v>1973.59014109758</v>
      </c>
      <c r="BA46" t="n">
        <v>32424.2826163232</v>
      </c>
      <c r="BB46" t="n">
        <v>54073.5755942105</v>
      </c>
      <c r="BC46" t="n">
        <v>25055.9264972029</v>
      </c>
      <c r="BD46" t="n">
        <v>372093.689316189</v>
      </c>
      <c r="BE46" t="n">
        <v>155420.505626242</v>
      </c>
      <c r="BF46" t="n">
        <v>39661.3047815955</v>
      </c>
      <c r="BG46" t="n">
        <v>52850.284813002</v>
      </c>
      <c r="BH46" t="n">
        <v>36816.6883231019</v>
      </c>
      <c r="BI46" t="n">
        <v>38808.722639078</v>
      </c>
      <c r="BJ46" t="n">
        <v>29646.738919957</v>
      </c>
      <c r="BK46" t="n">
        <v>4755.89385146638</v>
      </c>
      <c r="BL46" t="n">
        <v>34886.7642371384</v>
      </c>
      <c r="BM46" t="n">
        <v>61724.6637136212</v>
      </c>
      <c r="BN46" t="n">
        <v>208333.105746826</v>
      </c>
      <c r="BO46" t="n">
        <v>124410.339417041</v>
      </c>
      <c r="BP46" t="n">
        <v>652015.660471043</v>
      </c>
      <c r="BQ46" t="n">
        <v>44671.37581833</v>
      </c>
      <c r="BR46" t="n">
        <v>985990.662454387</v>
      </c>
      <c r="BS46" t="n">
        <v>4914056.06457249</v>
      </c>
      <c r="BT46" t="n">
        <v>13562538.9845597</v>
      </c>
      <c r="BU46" t="n">
        <v>7595281.00207811</v>
      </c>
      <c r="BV46" t="n">
        <v>0</v>
      </c>
      <c r="BW46" t="n">
        <v>0</v>
      </c>
      <c r="BX46" t="n">
        <v>0</v>
      </c>
      <c r="BY46" t="n">
        <v>0</v>
      </c>
      <c r="BZ46" t="n">
        <v>2674023.62574493</v>
      </c>
      <c r="CA46" t="n">
        <v>12213856.7735924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142</v>
      </c>
      <c r="B47" t="n">
        <v>0</v>
      </c>
      <c r="C47" t="n">
        <v>460353.493105897</v>
      </c>
      <c r="D47" t="n">
        <v>24.3063995410377</v>
      </c>
      <c r="E47" t="n">
        <v>5149478.13819822</v>
      </c>
      <c r="F47" t="n">
        <v>5564.44157505032</v>
      </c>
      <c r="G47" t="n">
        <v>146147462.273733</v>
      </c>
      <c r="H47" t="n">
        <v>0</v>
      </c>
      <c r="I47" t="n">
        <v>13723799.6969498</v>
      </c>
      <c r="J47" t="n">
        <v>14692349.9184035</v>
      </c>
      <c r="K47" t="n">
        <v>2208033.56997711</v>
      </c>
      <c r="L47" t="n">
        <v>1658264.63196172</v>
      </c>
      <c r="M47" t="n">
        <v>387530.595710339</v>
      </c>
      <c r="N47" t="n">
        <v>0</v>
      </c>
      <c r="O47" t="n">
        <v>148401.917688115</v>
      </c>
      <c r="P47" t="n">
        <v>391506.290377541</v>
      </c>
      <c r="Q47" t="n">
        <v>0</v>
      </c>
      <c r="R47" t="n">
        <v>3695892.5732922</v>
      </c>
      <c r="S47" t="n">
        <v>1809740.48716111</v>
      </c>
      <c r="T47" t="n">
        <v>4005160.06994802</v>
      </c>
      <c r="U47" t="n">
        <v>4944693.60708755</v>
      </c>
      <c r="V47" t="n">
        <v>0</v>
      </c>
      <c r="W47" t="n">
        <v>24919422.4750481</v>
      </c>
      <c r="X47" t="n">
        <v>4115316.05347771</v>
      </c>
      <c r="Y47" t="n">
        <v>2028564.0542969</v>
      </c>
      <c r="Z47" t="n">
        <v>2282548.63613203</v>
      </c>
      <c r="AA47" t="n">
        <v>24023614.1085773</v>
      </c>
      <c r="AB47" t="n">
        <v>737010974.697569</v>
      </c>
      <c r="AC47" t="n">
        <v>27912082.3560642</v>
      </c>
      <c r="AD47" t="n">
        <v>25086959.470251</v>
      </c>
      <c r="AE47" t="n">
        <v>10067072.100446</v>
      </c>
      <c r="AF47" t="n">
        <v>149583549.905537</v>
      </c>
      <c r="AG47" t="n">
        <v>55843031.8816424</v>
      </c>
      <c r="AH47" t="n">
        <v>8575280.38799636</v>
      </c>
      <c r="AI47" t="n">
        <v>16225749.0817707</v>
      </c>
      <c r="AJ47" t="n">
        <v>654875274.808137</v>
      </c>
      <c r="AK47" t="n">
        <v>2752144.06654888</v>
      </c>
      <c r="AL47" t="n">
        <v>540286.309080161</v>
      </c>
      <c r="AM47" t="n">
        <v>322020717.574108</v>
      </c>
      <c r="AN47" t="n">
        <v>99177429.4670846</v>
      </c>
      <c r="AO47" t="n">
        <v>5085136.89092043</v>
      </c>
      <c r="AP47" t="n">
        <v>3024288.21503186</v>
      </c>
      <c r="AQ47" t="n">
        <v>1327050.91423114</v>
      </c>
      <c r="AR47" t="n">
        <v>15066107.3303415</v>
      </c>
      <c r="AS47" t="n">
        <v>6984924.24559749</v>
      </c>
      <c r="AT47" t="n">
        <v>14690936.4584453</v>
      </c>
      <c r="AU47" t="n">
        <v>600210.010500525</v>
      </c>
      <c r="AV47" t="n">
        <v>0</v>
      </c>
      <c r="AW47" t="n">
        <v>0</v>
      </c>
      <c r="AX47" t="n">
        <v>0</v>
      </c>
      <c r="AY47" t="n">
        <v>39692928.0873541</v>
      </c>
      <c r="AZ47" t="n">
        <v>6173233.01429305</v>
      </c>
      <c r="BA47" t="n">
        <v>6268355.13882605</v>
      </c>
      <c r="BB47" t="n">
        <v>75684914.1806397</v>
      </c>
      <c r="BC47" t="n">
        <v>4215514.49521922</v>
      </c>
      <c r="BD47" t="n">
        <v>38276515.3374233</v>
      </c>
      <c r="BE47" t="n">
        <v>46322715.1194335</v>
      </c>
      <c r="BF47" t="n">
        <v>2645444.15215388</v>
      </c>
      <c r="BG47" t="n">
        <v>27501820.2844091</v>
      </c>
      <c r="BH47" t="n">
        <v>29824791.0364743</v>
      </c>
      <c r="BI47" t="n">
        <v>4536820.3369313</v>
      </c>
      <c r="BJ47" t="n">
        <v>10202151.7453575</v>
      </c>
      <c r="BK47" t="n">
        <v>2619087.74526899</v>
      </c>
      <c r="BL47" t="n">
        <v>6582515.75972756</v>
      </c>
      <c r="BM47" t="n">
        <v>1996087.46747682</v>
      </c>
      <c r="BN47" t="n">
        <v>13343296.9794892</v>
      </c>
      <c r="BO47" t="n">
        <v>13899851.0036328</v>
      </c>
      <c r="BP47" t="n">
        <v>47176.801649286</v>
      </c>
      <c r="BQ47" t="n">
        <v>2570762.65065267</v>
      </c>
      <c r="BR47" t="n">
        <v>11876132.1476205</v>
      </c>
      <c r="BS47" t="n">
        <v>14006119.6539428</v>
      </c>
      <c r="BT47" t="n">
        <v>32026378.1647809</v>
      </c>
      <c r="BU47" t="n">
        <v>196375952.837475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121765829.904916</v>
      </c>
      <c r="CB47" t="n">
        <v>39180132.709421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143</v>
      </c>
      <c r="B48" t="n">
        <v>1173788.8128199</v>
      </c>
      <c r="C48" t="n">
        <v>0</v>
      </c>
      <c r="D48" t="n">
        <v>2.39627711450921</v>
      </c>
      <c r="E48" t="n">
        <v>493752.529373423</v>
      </c>
      <c r="F48" t="n">
        <v>0</v>
      </c>
      <c r="G48" t="n">
        <v>4018251.1612054</v>
      </c>
      <c r="H48" t="n">
        <v>0</v>
      </c>
      <c r="I48" t="n">
        <v>8555719.10078386</v>
      </c>
      <c r="J48" t="n">
        <v>10362818.1876093</v>
      </c>
      <c r="K48" t="n">
        <v>392314.5508475</v>
      </c>
      <c r="L48" t="n">
        <v>3831726.85816445</v>
      </c>
      <c r="M48" t="n">
        <v>3075518.07648224</v>
      </c>
      <c r="N48" t="n">
        <v>616868.26172558</v>
      </c>
      <c r="O48" t="n">
        <v>1075333.7083146</v>
      </c>
      <c r="P48" t="n">
        <v>1105281.80450346</v>
      </c>
      <c r="Q48" t="n">
        <v>330365.102965575</v>
      </c>
      <c r="R48" t="n">
        <v>531364.516376163</v>
      </c>
      <c r="S48" t="n">
        <v>1636140.39133544</v>
      </c>
      <c r="T48" t="n">
        <v>10090146.0106576</v>
      </c>
      <c r="U48" t="n">
        <v>27298816.5976396</v>
      </c>
      <c r="V48" t="n">
        <v>717721.633446374</v>
      </c>
      <c r="W48" t="n">
        <v>39005206.6723723</v>
      </c>
      <c r="X48" t="n">
        <v>2612795.80048819</v>
      </c>
      <c r="Y48" t="n">
        <v>855579.536381462</v>
      </c>
      <c r="Z48" t="n">
        <v>11185564.4438309</v>
      </c>
      <c r="AA48" t="n">
        <v>48016509.8331374</v>
      </c>
      <c r="AB48" t="n">
        <v>113342630.718052</v>
      </c>
      <c r="AC48" t="n">
        <v>36743373.6511511</v>
      </c>
      <c r="AD48" t="n">
        <v>32776816.879192</v>
      </c>
      <c r="AE48" t="n">
        <v>27504351.8070462</v>
      </c>
      <c r="AF48" t="n">
        <v>94446715.9843868</v>
      </c>
      <c r="AG48" t="n">
        <v>105245.143179846</v>
      </c>
      <c r="AH48" t="n">
        <v>2369.02881298308</v>
      </c>
      <c r="AI48" t="n">
        <v>1263865.22811023</v>
      </c>
      <c r="AJ48" t="n">
        <v>28995592.9728121</v>
      </c>
      <c r="AK48" t="n">
        <v>212780.749063649</v>
      </c>
      <c r="AL48" t="n">
        <v>120341.170268072</v>
      </c>
      <c r="AM48" t="n">
        <v>4196253.84142128</v>
      </c>
      <c r="AN48" t="n">
        <v>41619924.9751982</v>
      </c>
      <c r="AO48" t="n">
        <v>580358.825618087</v>
      </c>
      <c r="AP48" t="n">
        <v>277432.735310943</v>
      </c>
      <c r="AQ48" t="n">
        <v>1377338.54793473</v>
      </c>
      <c r="AR48" t="n">
        <v>1665485.18834249</v>
      </c>
      <c r="AS48" t="n">
        <v>0</v>
      </c>
      <c r="AT48" t="n">
        <v>0</v>
      </c>
      <c r="AU48" t="n">
        <v>54821.5460142907</v>
      </c>
      <c r="AV48" t="n">
        <v>0</v>
      </c>
      <c r="AW48" t="n">
        <v>5541.81715833579</v>
      </c>
      <c r="AX48" t="n">
        <v>1139927.60097798</v>
      </c>
      <c r="AY48" t="n">
        <v>2308949.28264944</v>
      </c>
      <c r="AZ48" t="n">
        <v>574477.718407722</v>
      </c>
      <c r="BA48" t="n">
        <v>550116.537842483</v>
      </c>
      <c r="BB48" t="n">
        <v>3743378.77772113</v>
      </c>
      <c r="BC48" t="n">
        <v>28169.5162133435</v>
      </c>
      <c r="BD48" t="n">
        <v>61673772.0525862</v>
      </c>
      <c r="BE48" t="n">
        <v>3031074.73520072</v>
      </c>
      <c r="BF48" t="n">
        <v>446799.210657418</v>
      </c>
      <c r="BG48" t="n">
        <v>3055153.03860373</v>
      </c>
      <c r="BH48" t="n">
        <v>3180546.19617689</v>
      </c>
      <c r="BI48" t="n">
        <v>757333.800084047</v>
      </c>
      <c r="BJ48" t="n">
        <v>676043.069227156</v>
      </c>
      <c r="BK48" t="n">
        <v>391975.487474713</v>
      </c>
      <c r="BL48" t="n">
        <v>442138.783899145</v>
      </c>
      <c r="BM48" t="n">
        <v>3491269.35817643</v>
      </c>
      <c r="BN48" t="n">
        <v>5003219.79774307</v>
      </c>
      <c r="BO48" t="n">
        <v>3082015.5827907</v>
      </c>
      <c r="BP48" t="n">
        <v>1774350.62774262</v>
      </c>
      <c r="BQ48" t="n">
        <v>4456104.66444347</v>
      </c>
      <c r="BR48" t="n">
        <v>0</v>
      </c>
      <c r="BS48" t="n">
        <v>34850574.1522737</v>
      </c>
      <c r="BT48" t="n">
        <v>372724.015206454</v>
      </c>
      <c r="BU48" t="n">
        <v>1189290.8715365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2905823.08897243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144</v>
      </c>
      <c r="B49" t="n">
        <v>86163.9716056467</v>
      </c>
      <c r="C49" t="n">
        <v>0</v>
      </c>
      <c r="D49" t="n">
        <v>7.05056063975146</v>
      </c>
      <c r="E49" t="n">
        <v>2154.88027029483</v>
      </c>
      <c r="F49" t="n">
        <v>2235.29450832314</v>
      </c>
      <c r="G49" t="n">
        <v>1273062.05030127</v>
      </c>
      <c r="H49" t="n">
        <v>2896945.12811568</v>
      </c>
      <c r="I49" t="n">
        <v>114239.428537601</v>
      </c>
      <c r="J49" t="n">
        <v>3876.54563114897</v>
      </c>
      <c r="K49" t="n">
        <v>63897.6740469541</v>
      </c>
      <c r="L49" t="n">
        <v>406628.796412588</v>
      </c>
      <c r="M49" t="n">
        <v>207851.632656848</v>
      </c>
      <c r="N49" t="n">
        <v>46323.6494238411</v>
      </c>
      <c r="O49" t="n">
        <v>16425.7464815368</v>
      </c>
      <c r="P49" t="n">
        <v>256198.684079594</v>
      </c>
      <c r="Q49" t="n">
        <v>435782.033244075</v>
      </c>
      <c r="R49" t="n">
        <v>42671.3448190898</v>
      </c>
      <c r="S49" t="n">
        <v>80649.1781694627</v>
      </c>
      <c r="T49" t="n">
        <v>21846.6272151024</v>
      </c>
      <c r="U49" t="n">
        <v>0</v>
      </c>
      <c r="V49" t="n">
        <v>0</v>
      </c>
      <c r="W49" t="n">
        <v>68344.4359159497</v>
      </c>
      <c r="X49" t="n">
        <v>127630.477068083</v>
      </c>
      <c r="Y49" t="n">
        <v>6115.53804456511</v>
      </c>
      <c r="Z49" t="n">
        <v>112975.919168235</v>
      </c>
      <c r="AA49" t="n">
        <v>79522.5222498854</v>
      </c>
      <c r="AB49" t="n">
        <v>10693321.8357135</v>
      </c>
      <c r="AC49" t="n">
        <v>1627512.12893339</v>
      </c>
      <c r="AD49" t="n">
        <v>312152.251384575</v>
      </c>
      <c r="AE49" t="n">
        <v>1167554.62296677</v>
      </c>
      <c r="AF49" t="n">
        <v>2405905.93728407</v>
      </c>
      <c r="AG49" t="n">
        <v>9872.56267818189</v>
      </c>
      <c r="AH49" t="n">
        <v>121693.73268567</v>
      </c>
      <c r="AI49" t="n">
        <v>0</v>
      </c>
      <c r="AJ49" t="n">
        <v>127009.074782521</v>
      </c>
      <c r="AK49" t="n">
        <v>12901.357297972</v>
      </c>
      <c r="AL49" t="n">
        <v>0</v>
      </c>
      <c r="AM49" t="n">
        <v>1200750.13029929</v>
      </c>
      <c r="AN49" t="n">
        <v>589923.670702666</v>
      </c>
      <c r="AO49" t="n">
        <v>29687935.7805721</v>
      </c>
      <c r="AP49" t="n">
        <v>49057.0724452987</v>
      </c>
      <c r="AQ49" t="n">
        <v>1600774.64569134</v>
      </c>
      <c r="AR49" t="n">
        <v>2418556.61865193</v>
      </c>
      <c r="AS49" t="n">
        <v>1061824.06223956</v>
      </c>
      <c r="AT49" t="n">
        <v>848810.598118919</v>
      </c>
      <c r="AU49" t="n">
        <v>1340473.18927155</v>
      </c>
      <c r="AV49" t="n">
        <v>159489.096217726</v>
      </c>
      <c r="AW49" t="n">
        <v>0</v>
      </c>
      <c r="AX49" t="n">
        <v>1626482.97615128</v>
      </c>
      <c r="AY49" t="n">
        <v>1613991.79546436</v>
      </c>
      <c r="AZ49" t="n">
        <v>2836945.79914717</v>
      </c>
      <c r="BA49" t="n">
        <v>1718165.31354002</v>
      </c>
      <c r="BB49" t="n">
        <v>9960958.73779898</v>
      </c>
      <c r="BC49" t="n">
        <v>989668.456513953</v>
      </c>
      <c r="BD49" t="n">
        <v>9386011.95663908</v>
      </c>
      <c r="BE49" t="n">
        <v>199499.801133591</v>
      </c>
      <c r="BF49" t="n">
        <v>1219972.43100078</v>
      </c>
      <c r="BG49" t="n">
        <v>5576894.3433241</v>
      </c>
      <c r="BH49" t="n">
        <v>3053989.44232747</v>
      </c>
      <c r="BI49" t="n">
        <v>408839.094873499</v>
      </c>
      <c r="BJ49" t="n">
        <v>2131825.03939323</v>
      </c>
      <c r="BK49" t="n">
        <v>64416.880859778</v>
      </c>
      <c r="BL49" t="n">
        <v>196886.975546668</v>
      </c>
      <c r="BM49" t="n">
        <v>611844.202410359</v>
      </c>
      <c r="BN49" t="n">
        <v>607684.872407394</v>
      </c>
      <c r="BO49" t="n">
        <v>1802517.03307325</v>
      </c>
      <c r="BP49" t="n">
        <v>180240.187224632</v>
      </c>
      <c r="BQ49" t="n">
        <v>2903467.25273128</v>
      </c>
      <c r="BR49" t="n">
        <v>84945.8803399171</v>
      </c>
      <c r="BS49" t="n">
        <v>40915920.8556916</v>
      </c>
      <c r="BT49" t="n">
        <v>805321.769786886</v>
      </c>
      <c r="BU49" t="n">
        <v>327614953.407001</v>
      </c>
      <c r="BV49" t="n">
        <v>0</v>
      </c>
      <c r="BW49" t="n">
        <v>0</v>
      </c>
      <c r="BX49" t="n">
        <v>123595819.391809</v>
      </c>
      <c r="BY49" t="n">
        <v>0</v>
      </c>
      <c r="BZ49" t="n">
        <v>1398757.92892715</v>
      </c>
      <c r="CA49" t="n">
        <v>179331997.39154</v>
      </c>
      <c r="CB49" t="n">
        <v>-54919791.930226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30211318.8650766</v>
      </c>
    </row>
    <row r="50">
      <c r="A50" t="s">
        <v>145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133625.382961554</v>
      </c>
      <c r="AC50" t="n">
        <v>814095.410411762</v>
      </c>
      <c r="AD50" t="n">
        <v>733902.744262946</v>
      </c>
      <c r="AE50" t="n">
        <v>0</v>
      </c>
      <c r="AF50" t="n">
        <v>249975.132517985</v>
      </c>
      <c r="AG50" t="n">
        <v>4139.63718257593</v>
      </c>
      <c r="AH50" t="n">
        <v>0</v>
      </c>
      <c r="AI50" t="n">
        <v>0</v>
      </c>
      <c r="AJ50" t="n">
        <v>4152.36303609294</v>
      </c>
      <c r="AK50" t="n">
        <v>0</v>
      </c>
      <c r="AL50" t="n">
        <v>5455.53021857176</v>
      </c>
      <c r="AM50" t="n">
        <v>33837.2523503136</v>
      </c>
      <c r="AN50" t="n">
        <v>0</v>
      </c>
      <c r="AO50" t="n">
        <v>133415.412808138</v>
      </c>
      <c r="AP50" t="n">
        <v>26659996.9770726</v>
      </c>
      <c r="AQ50" t="n">
        <v>116035229.372901</v>
      </c>
      <c r="AR50" t="n">
        <v>200916.818229487</v>
      </c>
      <c r="AS50" t="n">
        <v>58949.8973782097</v>
      </c>
      <c r="AT50" t="n">
        <v>22045.7312954121</v>
      </c>
      <c r="AU50" t="n">
        <v>0</v>
      </c>
      <c r="AV50" t="n">
        <v>0</v>
      </c>
      <c r="AW50" t="n">
        <v>0</v>
      </c>
      <c r="AX50" t="n">
        <v>115095.98873193</v>
      </c>
      <c r="AY50" t="n">
        <v>928211.932299588</v>
      </c>
      <c r="AZ50" t="n">
        <v>19549.4310818886</v>
      </c>
      <c r="BA50" t="n">
        <v>59092.1920799158</v>
      </c>
      <c r="BB50" t="n">
        <v>4811782.16808636</v>
      </c>
      <c r="BC50" t="n">
        <v>448319.749819401</v>
      </c>
      <c r="BD50" t="n">
        <v>182410.084766117</v>
      </c>
      <c r="BE50" t="n">
        <v>0</v>
      </c>
      <c r="BF50" t="n">
        <v>1276078.41418639</v>
      </c>
      <c r="BG50" t="n">
        <v>147607.766559649</v>
      </c>
      <c r="BH50" t="n">
        <v>26087.8854000085</v>
      </c>
      <c r="BI50" t="n">
        <v>2894388.70912223</v>
      </c>
      <c r="BJ50" t="n">
        <v>2326103.82538515</v>
      </c>
      <c r="BK50" t="n">
        <v>344689.156300146</v>
      </c>
      <c r="BL50" t="n">
        <v>176429.705967682</v>
      </c>
      <c r="BM50" t="n">
        <v>4467989.44981819</v>
      </c>
      <c r="BN50" t="n">
        <v>11906598.1304912</v>
      </c>
      <c r="BO50" t="n">
        <v>801911.834196898</v>
      </c>
      <c r="BP50" t="n">
        <v>83910.4093841644</v>
      </c>
      <c r="BQ50" t="n">
        <v>1692279.61704957</v>
      </c>
      <c r="BR50" t="n">
        <v>95522.936556373</v>
      </c>
      <c r="BS50" t="n">
        <v>1852083.17866261</v>
      </c>
      <c r="BT50" t="n">
        <v>0</v>
      </c>
      <c r="BU50" t="n">
        <v>60495633.4452518</v>
      </c>
      <c r="BV50" t="n">
        <v>0</v>
      </c>
      <c r="BW50" t="n">
        <v>0</v>
      </c>
      <c r="BX50" t="n">
        <v>19008328.6580674</v>
      </c>
      <c r="BY50" t="n">
        <v>0</v>
      </c>
      <c r="BZ50" t="n">
        <v>-264693.551605946</v>
      </c>
      <c r="CA50" t="n">
        <v>58663071.9647113</v>
      </c>
      <c r="CB50" t="n">
        <v>-98786622.6268376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146</v>
      </c>
      <c r="B51" t="n">
        <v>2797802.60697807</v>
      </c>
      <c r="C51" t="n">
        <v>65578.6917740292</v>
      </c>
      <c r="D51" t="n">
        <v>414.842535789686</v>
      </c>
      <c r="E51" t="n">
        <v>1150753.19396014</v>
      </c>
      <c r="F51" t="n">
        <v>364515.356566643</v>
      </c>
      <c r="G51" t="n">
        <v>18441308.943778</v>
      </c>
      <c r="H51" t="n">
        <v>61052795.9466223</v>
      </c>
      <c r="I51" t="n">
        <v>6054316.59913828</v>
      </c>
      <c r="J51" t="n">
        <v>11489099.8401187</v>
      </c>
      <c r="K51" t="n">
        <v>3771806.86870986</v>
      </c>
      <c r="L51" t="n">
        <v>16601372.4284675</v>
      </c>
      <c r="M51" t="n">
        <v>17006059.6801388</v>
      </c>
      <c r="N51" t="n">
        <v>1025025.23741834</v>
      </c>
      <c r="O51" t="n">
        <v>4050629.4306187</v>
      </c>
      <c r="P51" t="n">
        <v>12970789.4806965</v>
      </c>
      <c r="Q51" t="n">
        <v>5454642.03607331</v>
      </c>
      <c r="R51" t="n">
        <v>2330661.19272177</v>
      </c>
      <c r="S51" t="n">
        <v>3593190.64233647</v>
      </c>
      <c r="T51" t="n">
        <v>8853283.08844636</v>
      </c>
      <c r="U51" t="n">
        <v>6139985.90197925</v>
      </c>
      <c r="V51" t="n">
        <v>188832.343715011</v>
      </c>
      <c r="W51" t="n">
        <v>11556963.9623512</v>
      </c>
      <c r="X51" t="n">
        <v>3966323.68976496</v>
      </c>
      <c r="Y51" t="n">
        <v>180541.503957316</v>
      </c>
      <c r="Z51" t="n">
        <v>5064620.93117215</v>
      </c>
      <c r="AA51" t="n">
        <v>15485492.7438516</v>
      </c>
      <c r="AB51" t="n">
        <v>106761677.189096</v>
      </c>
      <c r="AC51" t="n">
        <v>20784294.730539</v>
      </c>
      <c r="AD51" t="n">
        <v>9075455.63985267</v>
      </c>
      <c r="AE51" t="n">
        <v>6514196.94343974</v>
      </c>
      <c r="AF51" t="n">
        <v>52635009.3430546</v>
      </c>
      <c r="AG51" t="n">
        <v>2923483.46406994</v>
      </c>
      <c r="AH51" t="n">
        <v>537643.277590534</v>
      </c>
      <c r="AI51" t="n">
        <v>777025.887301929</v>
      </c>
      <c r="AJ51" t="n">
        <v>15760677.3331744</v>
      </c>
      <c r="AK51" t="n">
        <v>2733207.88097853</v>
      </c>
      <c r="AL51" t="n">
        <v>751911.554001366</v>
      </c>
      <c r="AM51" t="n">
        <v>10909190.2091995</v>
      </c>
      <c r="AN51" t="n">
        <v>4654175.58953325</v>
      </c>
      <c r="AO51" t="n">
        <v>6690274.30475883</v>
      </c>
      <c r="AP51" t="n">
        <v>2284253.86944381</v>
      </c>
      <c r="AQ51" t="n">
        <v>744745542.607621</v>
      </c>
      <c r="AR51" t="n">
        <v>41632530.3666416</v>
      </c>
      <c r="AS51" t="n">
        <v>42423617.5048112</v>
      </c>
      <c r="AT51" t="n">
        <v>11532819.3738791</v>
      </c>
      <c r="AU51" t="n">
        <v>21453731.3363925</v>
      </c>
      <c r="AV51" t="n">
        <v>6533636.92062554</v>
      </c>
      <c r="AW51" t="n">
        <v>157212.141347032</v>
      </c>
      <c r="AX51" t="n">
        <v>69935200.3638676</v>
      </c>
      <c r="AY51" t="n">
        <v>15143697.5562728</v>
      </c>
      <c r="AZ51" t="n">
        <v>24656750.1949971</v>
      </c>
      <c r="BA51" t="n">
        <v>11760237.9051114</v>
      </c>
      <c r="BB51" t="n">
        <v>66286675.6913132</v>
      </c>
      <c r="BC51" t="n">
        <v>10992123.5478148</v>
      </c>
      <c r="BD51" t="n">
        <v>135701678.514971</v>
      </c>
      <c r="BE51" t="n">
        <v>22492898.8360586</v>
      </c>
      <c r="BF51" t="n">
        <v>11511245.7765601</v>
      </c>
      <c r="BG51" t="n">
        <v>55554251.7735148</v>
      </c>
      <c r="BH51" t="n">
        <v>12532484.2070215</v>
      </c>
      <c r="BI51" t="n">
        <v>12131659.490631</v>
      </c>
      <c r="BJ51" t="n">
        <v>4672596.82813385</v>
      </c>
      <c r="BK51" t="n">
        <v>2868174.79471403</v>
      </c>
      <c r="BL51" t="n">
        <v>11048817.7380686</v>
      </c>
      <c r="BM51" t="n">
        <v>53446653.9806433</v>
      </c>
      <c r="BN51" t="n">
        <v>61241575.3987551</v>
      </c>
      <c r="BO51" t="n">
        <v>54307832.0912592</v>
      </c>
      <c r="BP51" t="n">
        <v>59103467.7133851</v>
      </c>
      <c r="BQ51" t="n">
        <v>69459788.5554643</v>
      </c>
      <c r="BR51" t="n">
        <v>14215418.0869949</v>
      </c>
      <c r="BS51" t="n">
        <v>924627565.938972</v>
      </c>
      <c r="BT51" t="n">
        <v>13748765.7826763</v>
      </c>
      <c r="BU51" t="n">
        <v>3435041842.87761</v>
      </c>
      <c r="BV51" t="n">
        <v>0</v>
      </c>
      <c r="BW51" t="n">
        <v>57769119.1607156</v>
      </c>
      <c r="BX51" t="n">
        <v>257262506.136398</v>
      </c>
      <c r="BY51" t="n">
        <v>0</v>
      </c>
      <c r="BZ51" t="n">
        <v>0</v>
      </c>
      <c r="CA51" t="n">
        <v>113380621.544139</v>
      </c>
      <c r="CB51" t="n">
        <v>-1925018.21225511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147</v>
      </c>
      <c r="B52" t="n">
        <v>0</v>
      </c>
      <c r="C52" t="n">
        <v>0</v>
      </c>
      <c r="D52" t="n">
        <v>23.95618378871</v>
      </c>
      <c r="E52" t="n">
        <v>38745.431475424</v>
      </c>
      <c r="F52" t="n">
        <v>8028.65049772074</v>
      </c>
      <c r="G52" t="n">
        <v>33952688.8224991</v>
      </c>
      <c r="H52" t="n">
        <v>10887612.5060606</v>
      </c>
      <c r="I52" t="n">
        <v>5089731.46601943</v>
      </c>
      <c r="J52" t="n">
        <v>7611578.84817983</v>
      </c>
      <c r="K52" t="n">
        <v>4377973.81532909</v>
      </c>
      <c r="L52" t="n">
        <v>13968538.8935213</v>
      </c>
      <c r="M52" t="n">
        <v>14998869.7755341</v>
      </c>
      <c r="N52" t="n">
        <v>341099.219673046</v>
      </c>
      <c r="O52" t="n">
        <v>5988204.24451279</v>
      </c>
      <c r="P52" t="n">
        <v>7855435.52657184</v>
      </c>
      <c r="Q52" t="n">
        <v>6005657.32002706</v>
      </c>
      <c r="R52" t="n">
        <v>2969791.3628383</v>
      </c>
      <c r="S52" t="n">
        <v>3004092.12320948</v>
      </c>
      <c r="T52" t="n">
        <v>5449456.67372232</v>
      </c>
      <c r="U52" t="n">
        <v>4212474.80259107</v>
      </c>
      <c r="V52" t="n">
        <v>117434.424230942</v>
      </c>
      <c r="W52" t="n">
        <v>14281264.1437464</v>
      </c>
      <c r="X52" t="n">
        <v>1394647.23142002</v>
      </c>
      <c r="Y52" t="n">
        <v>200719.862044004</v>
      </c>
      <c r="Z52" t="n">
        <v>2916495.67227323</v>
      </c>
      <c r="AA52" t="n">
        <v>8060724.12732055</v>
      </c>
      <c r="AB52" t="n">
        <v>19972757.6506407</v>
      </c>
      <c r="AC52" t="n">
        <v>27725911.8860059</v>
      </c>
      <c r="AD52" t="n">
        <v>9734807.46208834</v>
      </c>
      <c r="AE52" t="n">
        <v>10472310.2598228</v>
      </c>
      <c r="AF52" t="n">
        <v>46311281.6432964</v>
      </c>
      <c r="AG52" t="n">
        <v>651971.133980137</v>
      </c>
      <c r="AH52" t="n">
        <v>0</v>
      </c>
      <c r="AI52" t="n">
        <v>0</v>
      </c>
      <c r="AJ52" t="n">
        <v>979126.319231568</v>
      </c>
      <c r="AK52" t="n">
        <v>253187.110397137</v>
      </c>
      <c r="AL52" t="n">
        <v>24704.7248280275</v>
      </c>
      <c r="AM52" t="n">
        <v>4110415.55278861</v>
      </c>
      <c r="AN52" t="n">
        <v>1567284.63013389</v>
      </c>
      <c r="AO52" t="n">
        <v>6094925.98621835</v>
      </c>
      <c r="AP52" t="n">
        <v>266702.825322252</v>
      </c>
      <c r="AQ52" t="n">
        <v>16152827.5138149</v>
      </c>
      <c r="AR52" t="n">
        <v>24159976.4880836</v>
      </c>
      <c r="AS52" t="n">
        <v>51850237.420708</v>
      </c>
      <c r="AT52" t="n">
        <v>6205967.26263019</v>
      </c>
      <c r="AU52" t="n">
        <v>9200321.56172522</v>
      </c>
      <c r="AV52" t="n">
        <v>9734488.11008248</v>
      </c>
      <c r="AW52" t="n">
        <v>6392.64659420099</v>
      </c>
      <c r="AX52" t="n">
        <v>4488157.32628553</v>
      </c>
      <c r="AY52" t="n">
        <v>4735715.86561399</v>
      </c>
      <c r="AZ52" t="n">
        <v>16283176.0061981</v>
      </c>
      <c r="BA52" t="n">
        <v>11421555.8474064</v>
      </c>
      <c r="BB52" t="n">
        <v>62241862.8669101</v>
      </c>
      <c r="BC52" t="n">
        <v>4877546.15489632</v>
      </c>
      <c r="BD52" t="n">
        <v>200879617.440647</v>
      </c>
      <c r="BE52" t="n">
        <v>18910995.1261068</v>
      </c>
      <c r="BF52" t="n">
        <v>14140774.0781787</v>
      </c>
      <c r="BG52" t="n">
        <v>10434038.1339694</v>
      </c>
      <c r="BH52" t="n">
        <v>9037505.94247682</v>
      </c>
      <c r="BI52" t="n">
        <v>1808400.3897699</v>
      </c>
      <c r="BJ52" t="n">
        <v>2843056.71501348</v>
      </c>
      <c r="BK52" t="n">
        <v>2173034.18992033</v>
      </c>
      <c r="BL52" t="n">
        <v>6151647.25327924</v>
      </c>
      <c r="BM52" t="n">
        <v>7527687.8516979</v>
      </c>
      <c r="BN52" t="n">
        <v>65299619.6982965</v>
      </c>
      <c r="BO52" t="n">
        <v>39592511.6185748</v>
      </c>
      <c r="BP52" t="n">
        <v>8485212.85243236</v>
      </c>
      <c r="BQ52" t="n">
        <v>18121670.1620522</v>
      </c>
      <c r="BR52" t="n">
        <v>2109885.5616143</v>
      </c>
      <c r="BS52" t="n">
        <v>227165613.245575</v>
      </c>
      <c r="BT52" t="n">
        <v>11704308.8236545</v>
      </c>
      <c r="BU52" t="n">
        <v>357587644.944043</v>
      </c>
      <c r="BV52" t="n">
        <v>0</v>
      </c>
      <c r="BW52" t="n">
        <v>0</v>
      </c>
      <c r="BX52" t="n">
        <v>79309951.0821854</v>
      </c>
      <c r="BY52" t="n">
        <v>0</v>
      </c>
      <c r="BZ52" t="n">
        <v>0</v>
      </c>
      <c r="CA52" t="n">
        <v>30065090.1700685</v>
      </c>
      <c r="CB52" t="n">
        <v>-14367476.9157244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31906565.012477</v>
      </c>
    </row>
    <row r="53">
      <c r="A53" t="s">
        <v>148</v>
      </c>
      <c r="B53" t="n">
        <v>3509771.87975711</v>
      </c>
      <c r="C53" t="n">
        <v>911115.681275987</v>
      </c>
      <c r="D53" t="n">
        <v>571.601333123511</v>
      </c>
      <c r="E53" t="n">
        <v>1536803.5730909</v>
      </c>
      <c r="F53" t="n">
        <v>108123.386226647</v>
      </c>
      <c r="G53" t="n">
        <v>23425947.9927865</v>
      </c>
      <c r="H53" t="n">
        <v>23400937.2996004</v>
      </c>
      <c r="I53" t="n">
        <v>3153623.31287143</v>
      </c>
      <c r="J53" t="n">
        <v>3827404.01487211</v>
      </c>
      <c r="K53" t="n">
        <v>3956515.509435</v>
      </c>
      <c r="L53" t="n">
        <v>7778329.8044485</v>
      </c>
      <c r="M53" t="n">
        <v>9898962.00287015</v>
      </c>
      <c r="N53" t="n">
        <v>2818935.49641973</v>
      </c>
      <c r="O53" t="n">
        <v>9062196.38773524</v>
      </c>
      <c r="P53" t="n">
        <v>25064123.2543157</v>
      </c>
      <c r="Q53" t="n">
        <v>1988390.94316332</v>
      </c>
      <c r="R53" t="n">
        <v>1626481.98776228</v>
      </c>
      <c r="S53" t="n">
        <v>3421543.0537131</v>
      </c>
      <c r="T53" t="n">
        <v>7345845.16416876</v>
      </c>
      <c r="U53" t="n">
        <v>7200472.71708813</v>
      </c>
      <c r="V53" t="n">
        <v>1321831.61959855</v>
      </c>
      <c r="W53" t="n">
        <v>9837821.42247403</v>
      </c>
      <c r="X53" t="n">
        <v>1524537.50732114</v>
      </c>
      <c r="Y53" t="n">
        <v>597085.034815588</v>
      </c>
      <c r="Z53" t="n">
        <v>11839228.1694243</v>
      </c>
      <c r="AA53" t="n">
        <v>17427333.2966073</v>
      </c>
      <c r="AB53" t="n">
        <v>90615820.5714969</v>
      </c>
      <c r="AC53" t="n">
        <v>13045947.4175144</v>
      </c>
      <c r="AD53" t="n">
        <v>7972404.66489583</v>
      </c>
      <c r="AE53" t="n">
        <v>11037722.3131364</v>
      </c>
      <c r="AF53" t="n">
        <v>26058130.3262747</v>
      </c>
      <c r="AG53" t="n">
        <v>677622.929370088</v>
      </c>
      <c r="AH53" t="n">
        <v>8938617.05822074</v>
      </c>
      <c r="AI53" t="n">
        <v>695643.478509035</v>
      </c>
      <c r="AJ53" t="n">
        <v>5434641.65627713</v>
      </c>
      <c r="AK53" t="n">
        <v>2519160.78555253</v>
      </c>
      <c r="AL53" t="n">
        <v>472408.22244619</v>
      </c>
      <c r="AM53" t="n">
        <v>4937666.9432263</v>
      </c>
      <c r="AN53" t="n">
        <v>1280529.39710537</v>
      </c>
      <c r="AO53" t="n">
        <v>4061719.63053153</v>
      </c>
      <c r="AP53" t="n">
        <v>819170.945057412</v>
      </c>
      <c r="AQ53" t="n">
        <v>37495196.8205591</v>
      </c>
      <c r="AR53" t="n">
        <v>2774763.0715196</v>
      </c>
      <c r="AS53" t="n">
        <v>115381430.219153</v>
      </c>
      <c r="AT53" t="n">
        <v>39900693.7491006</v>
      </c>
      <c r="AU53" t="n">
        <v>1177329.4275678</v>
      </c>
      <c r="AV53" t="n">
        <v>5123422.51290525</v>
      </c>
      <c r="AW53" t="n">
        <v>403323189.609928</v>
      </c>
      <c r="AX53" t="n">
        <v>88003480.0024812</v>
      </c>
      <c r="AY53" t="n">
        <v>25080559.5458469</v>
      </c>
      <c r="AZ53" t="n">
        <v>4069335.82359729</v>
      </c>
      <c r="BA53" t="n">
        <v>4609644.62527072</v>
      </c>
      <c r="BB53" t="n">
        <v>26076431.5345885</v>
      </c>
      <c r="BC53" t="n">
        <v>43061953.2292569</v>
      </c>
      <c r="BD53" t="n">
        <v>21314527.7139833</v>
      </c>
      <c r="BE53" t="n">
        <v>6035063.88178788</v>
      </c>
      <c r="BF53" t="n">
        <v>2918396.92860038</v>
      </c>
      <c r="BG53" t="n">
        <v>15210985.6395666</v>
      </c>
      <c r="BH53" t="n">
        <v>8334431.79410706</v>
      </c>
      <c r="BI53" t="n">
        <v>2945793.28070196</v>
      </c>
      <c r="BJ53" t="n">
        <v>1901700.07091761</v>
      </c>
      <c r="BK53" t="n">
        <v>1012226.48083561</v>
      </c>
      <c r="BL53" t="n">
        <v>4276831.17646497</v>
      </c>
      <c r="BM53" t="n">
        <v>21887553.6357553</v>
      </c>
      <c r="BN53" t="n">
        <v>24135314.3196799</v>
      </c>
      <c r="BO53" t="n">
        <v>27594999.7705041</v>
      </c>
      <c r="BP53" t="n">
        <v>0</v>
      </c>
      <c r="BQ53" t="n">
        <v>10526663.1618923</v>
      </c>
      <c r="BR53" t="n">
        <v>2764616.15016853</v>
      </c>
      <c r="BS53" t="n">
        <v>78151377.3591589</v>
      </c>
      <c r="BT53" t="n">
        <v>7133967.77113144</v>
      </c>
      <c r="BU53" t="n">
        <v>667396529.525273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436474660.195391</v>
      </c>
      <c r="CB53" t="n">
        <v>-79819838.2731553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149</v>
      </c>
      <c r="B54" t="n">
        <v>466137.065245442</v>
      </c>
      <c r="C54" t="n">
        <v>27814.7046066723</v>
      </c>
      <c r="D54" t="n">
        <v>909.949468945024</v>
      </c>
      <c r="E54" t="n">
        <v>6035237.30957817</v>
      </c>
      <c r="F54" t="n">
        <v>2046572.90784629</v>
      </c>
      <c r="G54" t="n">
        <v>3868167.88014476</v>
      </c>
      <c r="H54" t="n">
        <v>6167263.62634626</v>
      </c>
      <c r="I54" t="n">
        <v>196065.087078963</v>
      </c>
      <c r="J54" t="n">
        <v>384959.283035994</v>
      </c>
      <c r="K54" t="n">
        <v>8538130.405868</v>
      </c>
      <c r="L54" t="n">
        <v>13338525.4864747</v>
      </c>
      <c r="M54" t="n">
        <v>12595191.5123656</v>
      </c>
      <c r="N54" t="n">
        <v>209303.0393308</v>
      </c>
      <c r="O54" t="n">
        <v>4340528.90500827</v>
      </c>
      <c r="P54" t="n">
        <v>22389613.8516821</v>
      </c>
      <c r="Q54" t="n">
        <v>1972776.06366421</v>
      </c>
      <c r="R54" t="n">
        <v>2972154.21831457</v>
      </c>
      <c r="S54" t="n">
        <v>2982281.04383078</v>
      </c>
      <c r="T54" t="n">
        <v>314321.020656037</v>
      </c>
      <c r="U54" t="n">
        <v>193931.905079998</v>
      </c>
      <c r="V54" t="n">
        <v>5496.49649157672</v>
      </c>
      <c r="W54" t="n">
        <v>312231.423490652</v>
      </c>
      <c r="X54" t="n">
        <v>105142.881419286</v>
      </c>
      <c r="Y54" t="n">
        <v>25525.1030783032</v>
      </c>
      <c r="Z54" t="n">
        <v>108569.269446512</v>
      </c>
      <c r="AA54" t="n">
        <v>1187890.45520872</v>
      </c>
      <c r="AB54" t="n">
        <v>12346661.9974322</v>
      </c>
      <c r="AC54" t="n">
        <v>449307.18650294</v>
      </c>
      <c r="AD54" t="n">
        <v>1375100.10951275</v>
      </c>
      <c r="AE54" t="n">
        <v>4219773.92675823</v>
      </c>
      <c r="AF54" t="n">
        <v>2523738.11294912</v>
      </c>
      <c r="AG54" t="n">
        <v>1536928.74540066</v>
      </c>
      <c r="AH54" t="n">
        <v>1046267.37128358</v>
      </c>
      <c r="AI54" t="n">
        <v>1504076.63774542</v>
      </c>
      <c r="AJ54" t="n">
        <v>1912469.19260576</v>
      </c>
      <c r="AK54" t="n">
        <v>2102225.10631223</v>
      </c>
      <c r="AL54" t="n">
        <v>42507.7931697237</v>
      </c>
      <c r="AM54" t="n">
        <v>6334823.24136194</v>
      </c>
      <c r="AN54" t="n">
        <v>149632.465202708</v>
      </c>
      <c r="AO54" t="n">
        <v>407048.961447009</v>
      </c>
      <c r="AP54" t="n">
        <v>671348.223431906</v>
      </c>
      <c r="AQ54" t="n">
        <v>631795.312377284</v>
      </c>
      <c r="AR54" t="n">
        <v>163373.414065815</v>
      </c>
      <c r="AS54" t="n">
        <v>114904359.512129</v>
      </c>
      <c r="AT54" t="n">
        <v>46912395.4030265</v>
      </c>
      <c r="AU54" t="n">
        <v>8455316.74333907</v>
      </c>
      <c r="AV54" t="n">
        <v>266477535.893687</v>
      </c>
      <c r="AW54" t="n">
        <v>11968.2656280807</v>
      </c>
      <c r="AX54" t="n">
        <v>19052708.5220996</v>
      </c>
      <c r="AY54" t="n">
        <v>8452001.27789106</v>
      </c>
      <c r="AZ54" t="n">
        <v>1610067.90546194</v>
      </c>
      <c r="BA54" t="n">
        <v>1164190.91777108</v>
      </c>
      <c r="BB54" t="n">
        <v>7233493.89725071</v>
      </c>
      <c r="BC54" t="n">
        <v>23866357.8662595</v>
      </c>
      <c r="BD54" t="n">
        <v>6076427.04884773</v>
      </c>
      <c r="BE54" t="n">
        <v>365925.18795</v>
      </c>
      <c r="BF54" t="n">
        <v>2733940.72760242</v>
      </c>
      <c r="BG54" t="n">
        <v>6126709.84373034</v>
      </c>
      <c r="BH54" t="n">
        <v>23767295.9148757</v>
      </c>
      <c r="BI54" t="n">
        <v>1493932.90332786</v>
      </c>
      <c r="BJ54" t="n">
        <v>6532199.29013548</v>
      </c>
      <c r="BK54" t="n">
        <v>1512794.02043049</v>
      </c>
      <c r="BL54" t="n">
        <v>292616.997920104</v>
      </c>
      <c r="BM54" t="n">
        <v>30762052.2305919</v>
      </c>
      <c r="BN54" t="n">
        <v>27447275.3988304</v>
      </c>
      <c r="BO54" t="n">
        <v>15596204.9423823</v>
      </c>
      <c r="BP54" t="n">
        <v>0</v>
      </c>
      <c r="BQ54" t="n">
        <v>15025.0274950551</v>
      </c>
      <c r="BR54" t="n">
        <v>58494.6918013205</v>
      </c>
      <c r="BS54" t="n">
        <v>137339059.576563</v>
      </c>
      <c r="BT54" t="n">
        <v>9398280.98609277</v>
      </c>
      <c r="BU54" t="n">
        <v>957354887.693231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252108158.500554</v>
      </c>
      <c r="CB54" t="n">
        <v>-482689.202097097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150</v>
      </c>
      <c r="B55" t="n">
        <v>3045414.86973638</v>
      </c>
      <c r="C55" t="n">
        <v>754464.548465451</v>
      </c>
      <c r="D55" t="n">
        <v>751.176559234646</v>
      </c>
      <c r="E55" t="n">
        <v>1562936.82155359</v>
      </c>
      <c r="F55" t="n">
        <v>637665.126666933</v>
      </c>
      <c r="G55" t="n">
        <v>6704267.07562805</v>
      </c>
      <c r="H55" t="n">
        <v>1159608.48910909</v>
      </c>
      <c r="I55" t="n">
        <v>974169.301541694</v>
      </c>
      <c r="J55" t="n">
        <v>3949894.09505835</v>
      </c>
      <c r="K55" t="n">
        <v>2370418.75655767</v>
      </c>
      <c r="L55" t="n">
        <v>3850867.46356368</v>
      </c>
      <c r="M55" t="n">
        <v>6601002.34037759</v>
      </c>
      <c r="N55" t="n">
        <v>256217.917935773</v>
      </c>
      <c r="O55" t="n">
        <v>6496224.52138021</v>
      </c>
      <c r="P55" t="n">
        <v>26218324.4670598</v>
      </c>
      <c r="Q55" t="n">
        <v>2776899.74881657</v>
      </c>
      <c r="R55" t="n">
        <v>1373967.1727481</v>
      </c>
      <c r="S55" t="n">
        <v>1305776.56676738</v>
      </c>
      <c r="T55" t="n">
        <v>7187072.03546481</v>
      </c>
      <c r="U55" t="n">
        <v>5058511.90093595</v>
      </c>
      <c r="V55" t="n">
        <v>184869.596569167</v>
      </c>
      <c r="W55" t="n">
        <v>3529904.83753597</v>
      </c>
      <c r="X55" t="n">
        <v>184647.92872149</v>
      </c>
      <c r="Y55" t="n">
        <v>158338.335782589</v>
      </c>
      <c r="Z55" t="n">
        <v>6166760.64475651</v>
      </c>
      <c r="AA55" t="n">
        <v>6722366.67503568</v>
      </c>
      <c r="AB55" t="n">
        <v>100978185.942459</v>
      </c>
      <c r="AC55" t="n">
        <v>10031419.9031594</v>
      </c>
      <c r="AD55" t="n">
        <v>4316093.71367738</v>
      </c>
      <c r="AE55" t="n">
        <v>5932487.61177656</v>
      </c>
      <c r="AF55" t="n">
        <v>18584246.0561525</v>
      </c>
      <c r="AG55" t="n">
        <v>367924.17290195</v>
      </c>
      <c r="AH55" t="n">
        <v>56212.6071896936</v>
      </c>
      <c r="AI55" t="n">
        <v>727068.981092726</v>
      </c>
      <c r="AJ55" t="n">
        <v>35177596.0677213</v>
      </c>
      <c r="AK55" t="n">
        <v>4549103.62575486</v>
      </c>
      <c r="AL55" t="n">
        <v>65770.9746341558</v>
      </c>
      <c r="AM55" t="n">
        <v>8779720.09041661</v>
      </c>
      <c r="AN55" t="n">
        <v>8725019.02387227</v>
      </c>
      <c r="AO55" t="n">
        <v>380128.292305871</v>
      </c>
      <c r="AP55" t="n">
        <v>1130756.43540534</v>
      </c>
      <c r="AQ55" t="n">
        <v>3855422.31403722</v>
      </c>
      <c r="AR55" t="n">
        <v>855616.434172924</v>
      </c>
      <c r="AS55" t="n">
        <v>6277422.62461219</v>
      </c>
      <c r="AT55" t="n">
        <v>7611516.80415573</v>
      </c>
      <c r="AU55" t="n">
        <v>875354032.560001</v>
      </c>
      <c r="AV55" t="n">
        <v>19766415.0732689</v>
      </c>
      <c r="AW55" t="n">
        <v>15967483.078279</v>
      </c>
      <c r="AX55" t="n">
        <v>73289122.3251847</v>
      </c>
      <c r="AY55" t="n">
        <v>18350787.5505437</v>
      </c>
      <c r="AZ55" t="n">
        <v>5529920.27650501</v>
      </c>
      <c r="BA55" t="n">
        <v>3151255.38758733</v>
      </c>
      <c r="BB55" t="n">
        <v>21161226.6447857</v>
      </c>
      <c r="BC55" t="n">
        <v>487318.525320753</v>
      </c>
      <c r="BD55" t="n">
        <v>22954525.040849</v>
      </c>
      <c r="BE55" t="n">
        <v>7857215.33184563</v>
      </c>
      <c r="BF55" t="n">
        <v>3096296.41733834</v>
      </c>
      <c r="BG55" t="n">
        <v>29802922.92123</v>
      </c>
      <c r="BH55" t="n">
        <v>18526837.8788879</v>
      </c>
      <c r="BI55" t="n">
        <v>7841159.6132446</v>
      </c>
      <c r="BJ55" t="n">
        <v>16724832.4632769</v>
      </c>
      <c r="BK55" t="n">
        <v>2271341.79690269</v>
      </c>
      <c r="BL55" t="n">
        <v>3337035.71190607</v>
      </c>
      <c r="BM55" t="n">
        <v>5375770.38846062</v>
      </c>
      <c r="BN55" t="n">
        <v>21763296.3407259</v>
      </c>
      <c r="BO55" t="n">
        <v>8479487.41078996</v>
      </c>
      <c r="BP55" t="n">
        <v>0</v>
      </c>
      <c r="BQ55" t="n">
        <v>1847394.58280539</v>
      </c>
      <c r="BR55" t="n">
        <v>6360513.73305463</v>
      </c>
      <c r="BS55" t="n">
        <v>12029172.1571911</v>
      </c>
      <c r="BT55" t="n">
        <v>20535917.9237046</v>
      </c>
      <c r="BU55" t="n">
        <v>914537313.482805</v>
      </c>
      <c r="BV55" t="n">
        <v>0</v>
      </c>
      <c r="BW55" t="n">
        <v>0</v>
      </c>
      <c r="BX55" t="n">
        <v>0</v>
      </c>
      <c r="BY55" t="n">
        <v>11573884.7299065</v>
      </c>
      <c r="BZ55" t="n">
        <v>0</v>
      </c>
      <c r="CA55" t="n">
        <v>168583182.522414</v>
      </c>
      <c r="CB55" t="n">
        <v>-454895067.670787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25998294.5658056</v>
      </c>
      <c r="AV56" t="n">
        <v>56647549.8345262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475478.683643029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500555.576599189</v>
      </c>
      <c r="BR56" t="n">
        <v>0</v>
      </c>
      <c r="BS56" t="n">
        <v>14710997.9492804</v>
      </c>
      <c r="BT56" t="n">
        <v>0</v>
      </c>
      <c r="BU56" t="n">
        <v>1444424928.62581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31881849306.4547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153</v>
      </c>
      <c r="B58" t="n">
        <v>16057687.3492451</v>
      </c>
      <c r="C58" t="n">
        <v>161745.821902072</v>
      </c>
      <c r="D58" t="n">
        <v>2208.41001544285</v>
      </c>
      <c r="E58" t="n">
        <v>2034481.91093276</v>
      </c>
      <c r="F58" t="n">
        <v>772066.268538232</v>
      </c>
      <c r="G58" t="n">
        <v>148452627.293823</v>
      </c>
      <c r="H58" t="n">
        <v>227615346.30556</v>
      </c>
      <c r="I58" t="n">
        <v>15428750.2727979</v>
      </c>
      <c r="J58" t="n">
        <v>19227890.5964327</v>
      </c>
      <c r="K58" t="n">
        <v>7365604.52074453</v>
      </c>
      <c r="L58" t="n">
        <v>94167072.4711747</v>
      </c>
      <c r="M58" t="n">
        <v>42995499.776705</v>
      </c>
      <c r="N58" t="n">
        <v>12813610.1474204</v>
      </c>
      <c r="O58" t="n">
        <v>25562230.3217779</v>
      </c>
      <c r="P58" t="n">
        <v>62391866.0938026</v>
      </c>
      <c r="Q58" t="n">
        <v>13507921.1387867</v>
      </c>
      <c r="R58" t="n">
        <v>18602659.2855707</v>
      </c>
      <c r="S58" t="n">
        <v>17955860.9228946</v>
      </c>
      <c r="T58" t="n">
        <v>41328836.7847786</v>
      </c>
      <c r="U58" t="n">
        <v>47451708.8259103</v>
      </c>
      <c r="V58" t="n">
        <v>2227560.0450484</v>
      </c>
      <c r="W58" t="n">
        <v>68230701.8918574</v>
      </c>
      <c r="X58" t="n">
        <v>21470191.7532866</v>
      </c>
      <c r="Y58" t="n">
        <v>331116.459144147</v>
      </c>
      <c r="Z58" t="n">
        <v>55315380.7777529</v>
      </c>
      <c r="AA58" t="n">
        <v>126449527.719166</v>
      </c>
      <c r="AB58" t="n">
        <v>1080743231.91384</v>
      </c>
      <c r="AC58" t="n">
        <v>290532718.138253</v>
      </c>
      <c r="AD58" t="n">
        <v>410407707.534739</v>
      </c>
      <c r="AE58" t="n">
        <v>357282748.314852</v>
      </c>
      <c r="AF58" t="n">
        <v>1247729894.33551</v>
      </c>
      <c r="AG58" t="n">
        <v>780356.607957691</v>
      </c>
      <c r="AH58" t="n">
        <v>1482994.84692331</v>
      </c>
      <c r="AI58" t="n">
        <v>4229789.29054707</v>
      </c>
      <c r="AJ58" t="n">
        <v>101737647.028927</v>
      </c>
      <c r="AK58" t="n">
        <v>7077920.7155477</v>
      </c>
      <c r="AL58" t="n">
        <v>296743.68398057</v>
      </c>
      <c r="AM58" t="n">
        <v>83909091.5403471</v>
      </c>
      <c r="AN58" t="n">
        <v>163398307.210031</v>
      </c>
      <c r="AO58" t="n">
        <v>30781976.2492888</v>
      </c>
      <c r="AP58" t="n">
        <v>10954581.2863514</v>
      </c>
      <c r="AQ58" t="n">
        <v>280692332.660113</v>
      </c>
      <c r="AR58" t="n">
        <v>43823254.6863695</v>
      </c>
      <c r="AS58" t="n">
        <v>164591699.646934</v>
      </c>
      <c r="AT58" t="n">
        <v>96839243.0921406</v>
      </c>
      <c r="AU58" t="n">
        <v>195280092.239906</v>
      </c>
      <c r="AV58" t="n">
        <v>6161196.58119658</v>
      </c>
      <c r="AW58" t="n">
        <v>82343829.0989133</v>
      </c>
      <c r="AX58" t="n">
        <v>1475496949.373</v>
      </c>
      <c r="AY58" t="n">
        <v>104707688.908529</v>
      </c>
      <c r="AZ58" t="n">
        <v>191819185.844124</v>
      </c>
      <c r="BA58" t="n">
        <v>56453613.1348614</v>
      </c>
      <c r="BB58" t="n">
        <v>528752236.789304</v>
      </c>
      <c r="BC58" t="n">
        <v>291189632.429447</v>
      </c>
      <c r="BD58" t="n">
        <v>572179223.558282</v>
      </c>
      <c r="BE58" t="n">
        <v>87844018.0710105</v>
      </c>
      <c r="BF58" t="n">
        <v>244863703.062391</v>
      </c>
      <c r="BG58" t="n">
        <v>649285916.505095</v>
      </c>
      <c r="BH58" t="n">
        <v>468640906.562636</v>
      </c>
      <c r="BI58" t="n">
        <v>348599465.348532</v>
      </c>
      <c r="BJ58" t="n">
        <v>99422193.405217</v>
      </c>
      <c r="BK58" t="n">
        <v>68308152.5026867</v>
      </c>
      <c r="BL58" t="n">
        <v>206217715.072407</v>
      </c>
      <c r="BM58" t="n">
        <v>51846651.2026521</v>
      </c>
      <c r="BN58" t="n">
        <v>819822886.193291</v>
      </c>
      <c r="BO58" t="n">
        <v>794210890.964793</v>
      </c>
      <c r="BP58" t="n">
        <v>3408523.91916091</v>
      </c>
      <c r="BQ58" t="n">
        <v>127580397.427489</v>
      </c>
      <c r="BR58" t="n">
        <v>5790307.04242461</v>
      </c>
      <c r="BS58" t="n">
        <v>388232639.882627</v>
      </c>
      <c r="BT58" t="n">
        <v>23238830.4641436</v>
      </c>
      <c r="BU58" t="n">
        <v>92607854.3616546</v>
      </c>
      <c r="BV58" t="n">
        <v>273504157.548567</v>
      </c>
      <c r="BW58" t="n">
        <v>0</v>
      </c>
      <c r="BX58" t="n">
        <v>0</v>
      </c>
      <c r="BY58" t="n">
        <v>1965642858.24691</v>
      </c>
      <c r="BZ58" t="n">
        <v>0</v>
      </c>
      <c r="CA58" t="n">
        <v>24337871.3351176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154</v>
      </c>
      <c r="B59" t="n">
        <v>3428053.40880404</v>
      </c>
      <c r="C59" t="n">
        <v>221149.26603962</v>
      </c>
      <c r="D59" t="n">
        <v>1666.41106285451</v>
      </c>
      <c r="E59" t="n">
        <v>8648050.1950007</v>
      </c>
      <c r="F59" t="n">
        <v>1364356.39687372</v>
      </c>
      <c r="G59" t="n">
        <v>13305386.8248069</v>
      </c>
      <c r="H59" t="n">
        <v>117224142.5898</v>
      </c>
      <c r="I59" t="n">
        <v>1656861.52256471</v>
      </c>
      <c r="J59" t="n">
        <v>4074187.70151319</v>
      </c>
      <c r="K59" t="n">
        <v>3158970.48875958</v>
      </c>
      <c r="L59" t="n">
        <v>10408406.7521098</v>
      </c>
      <c r="M59" t="n">
        <v>9458240.81766298</v>
      </c>
      <c r="N59" t="n">
        <v>709293.114012114</v>
      </c>
      <c r="O59" t="n">
        <v>4451220.18886274</v>
      </c>
      <c r="P59" t="n">
        <v>59974486.8859309</v>
      </c>
      <c r="Q59" t="n">
        <v>2888792.7214011</v>
      </c>
      <c r="R59" t="n">
        <v>1182854.2104454</v>
      </c>
      <c r="S59" t="n">
        <v>2403548.25508876</v>
      </c>
      <c r="T59" t="n">
        <v>8438232.51088475</v>
      </c>
      <c r="U59" t="n">
        <v>2092598.35362807</v>
      </c>
      <c r="V59" t="n">
        <v>8212772.97407024</v>
      </c>
      <c r="W59" t="n">
        <v>11885158.3400081</v>
      </c>
      <c r="X59" t="n">
        <v>1601032.687265</v>
      </c>
      <c r="Y59" t="n">
        <v>684939.688654621</v>
      </c>
      <c r="Z59" t="n">
        <v>13792139.6487058</v>
      </c>
      <c r="AA59" t="n">
        <v>13055328.1177259</v>
      </c>
      <c r="AB59" t="n">
        <v>88424990.1970369</v>
      </c>
      <c r="AC59" t="n">
        <v>3706161.06032312</v>
      </c>
      <c r="AD59" t="n">
        <v>5061278.0996904</v>
      </c>
      <c r="AE59" t="n">
        <v>17368174.7825932</v>
      </c>
      <c r="AF59" t="n">
        <v>21995145.9800586</v>
      </c>
      <c r="AG59" t="n">
        <v>8719918.35675451</v>
      </c>
      <c r="AH59" t="n">
        <v>14443623.0970343</v>
      </c>
      <c r="AI59" t="n">
        <v>10851640.3045876</v>
      </c>
      <c r="AJ59" t="n">
        <v>101030237.137264</v>
      </c>
      <c r="AK59" t="n">
        <v>1222945.08623753</v>
      </c>
      <c r="AL59" t="n">
        <v>15572.689191299</v>
      </c>
      <c r="AM59" t="n">
        <v>9573602.69210541</v>
      </c>
      <c r="AN59" t="n">
        <v>26042202.6256041</v>
      </c>
      <c r="AO59" t="n">
        <v>2049338.46770682</v>
      </c>
      <c r="AP59" t="n">
        <v>1187352.50374194</v>
      </c>
      <c r="AQ59" t="n">
        <v>27589043.3799546</v>
      </c>
      <c r="AR59" t="n">
        <v>10436877.7036835</v>
      </c>
      <c r="AS59" t="n">
        <v>7956945.75682418</v>
      </c>
      <c r="AT59" t="n">
        <v>6586389.68474962</v>
      </c>
      <c r="AU59" t="n">
        <v>9334844.1380986</v>
      </c>
      <c r="AV59" t="n">
        <v>72161.1642359723</v>
      </c>
      <c r="AW59" t="n">
        <v>24861552.9621082</v>
      </c>
      <c r="AX59" t="n">
        <v>7053637.09464983</v>
      </c>
      <c r="AY59" t="n">
        <v>30764268.5019737</v>
      </c>
      <c r="AZ59" t="n">
        <v>5551599.11232537</v>
      </c>
      <c r="BA59" t="n">
        <v>6029706.9412029</v>
      </c>
      <c r="BB59" t="n">
        <v>43720294.7092619</v>
      </c>
      <c r="BC59" t="n">
        <v>40747962.7599164</v>
      </c>
      <c r="BD59" t="n">
        <v>42135298.2535617</v>
      </c>
      <c r="BE59" t="n">
        <v>21811837.07097</v>
      </c>
      <c r="BF59" t="n">
        <v>3440419.25870219</v>
      </c>
      <c r="BG59" t="n">
        <v>15760865.1121247</v>
      </c>
      <c r="BH59" t="n">
        <v>7573889.36709193</v>
      </c>
      <c r="BI59" t="n">
        <v>1996526.03876552</v>
      </c>
      <c r="BJ59" t="n">
        <v>1144632.10611037</v>
      </c>
      <c r="BK59" t="n">
        <v>3039038.38168958</v>
      </c>
      <c r="BL59" t="n">
        <v>7911112.04072287</v>
      </c>
      <c r="BM59" t="n">
        <v>11267525.8525787</v>
      </c>
      <c r="BN59" t="n">
        <v>44872214.4593883</v>
      </c>
      <c r="BO59" t="n">
        <v>10957880.7698129</v>
      </c>
      <c r="BP59" t="n">
        <v>1459959.69628303</v>
      </c>
      <c r="BQ59" t="n">
        <v>1020752.00298242</v>
      </c>
      <c r="BR59" t="n">
        <v>592097.433793239</v>
      </c>
      <c r="BS59" t="n">
        <v>45840529.1113533</v>
      </c>
      <c r="BT59" t="n">
        <v>1865626.23508386</v>
      </c>
      <c r="BU59" t="n">
        <v>417515940.251463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767993658.536765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155</v>
      </c>
      <c r="B60" t="n">
        <v>1173651.68870016</v>
      </c>
      <c r="C60" t="n">
        <v>384411.4120023</v>
      </c>
      <c r="D60" t="n">
        <v>729.414935772534</v>
      </c>
      <c r="E60" t="n">
        <v>3502194.22049128</v>
      </c>
      <c r="F60" t="n">
        <v>237534.17664194</v>
      </c>
      <c r="G60" t="n">
        <v>80055959.702959</v>
      </c>
      <c r="H60" t="n">
        <v>56068556.9734137</v>
      </c>
      <c r="I60" t="n">
        <v>5782752.71751942</v>
      </c>
      <c r="J60" t="n">
        <v>5602262.47759447</v>
      </c>
      <c r="K60" t="n">
        <v>4828088.42092469</v>
      </c>
      <c r="L60" t="n">
        <v>22685254.2283626</v>
      </c>
      <c r="M60" t="n">
        <v>20740620.3563151</v>
      </c>
      <c r="N60" t="n">
        <v>8354128.44345594</v>
      </c>
      <c r="O60" t="n">
        <v>6803405.55985225</v>
      </c>
      <c r="P60" t="n">
        <v>55323034.1610111</v>
      </c>
      <c r="Q60" t="n">
        <v>8449791.08833428</v>
      </c>
      <c r="R60" t="n">
        <v>2895552.7424215</v>
      </c>
      <c r="S60" t="n">
        <v>11214652.8259354</v>
      </c>
      <c r="T60" t="n">
        <v>6946009.48567578</v>
      </c>
      <c r="U60" t="n">
        <v>8472617.82895867</v>
      </c>
      <c r="V60" t="n">
        <v>759605.919085803</v>
      </c>
      <c r="W60" t="n">
        <v>22241602.8261649</v>
      </c>
      <c r="X60" t="n">
        <v>2499875.51463547</v>
      </c>
      <c r="Y60" t="n">
        <v>931825.685419218</v>
      </c>
      <c r="Z60" t="n">
        <v>34170800.829743</v>
      </c>
      <c r="AA60" t="n">
        <v>32325836.1965117</v>
      </c>
      <c r="AB60" t="n">
        <v>143421678.218201</v>
      </c>
      <c r="AC60" t="n">
        <v>6238593.86273434</v>
      </c>
      <c r="AD60" t="n">
        <v>7340718.32804492</v>
      </c>
      <c r="AE60" t="n">
        <v>8883287.62402888</v>
      </c>
      <c r="AF60" t="n">
        <v>36964300.7363051</v>
      </c>
      <c r="AG60" t="n">
        <v>637570.66583096</v>
      </c>
      <c r="AH60" t="n">
        <v>4958301.34996484</v>
      </c>
      <c r="AI60" t="n">
        <v>719507.034444117</v>
      </c>
      <c r="AJ60" t="n">
        <v>2139195.36893223</v>
      </c>
      <c r="AK60" t="n">
        <v>449170.652211533</v>
      </c>
      <c r="AL60" t="n">
        <v>43397.5791610681</v>
      </c>
      <c r="AM60" t="n">
        <v>5307409.82040682</v>
      </c>
      <c r="AN60" t="n">
        <v>4042888.42830301</v>
      </c>
      <c r="AO60" t="n">
        <v>11488302.0010858</v>
      </c>
      <c r="AP60" t="n">
        <v>2206178.15782651</v>
      </c>
      <c r="AQ60" t="n">
        <v>23477086.9461178</v>
      </c>
      <c r="AR60" t="n">
        <v>15396129.9515406</v>
      </c>
      <c r="AS60" t="n">
        <v>23740261.846387</v>
      </c>
      <c r="AT60" t="n">
        <v>25944199.7560204</v>
      </c>
      <c r="AU60" t="n">
        <v>78956401.639732</v>
      </c>
      <c r="AV60" t="n">
        <v>12479591.2608526</v>
      </c>
      <c r="AW60" t="n">
        <v>16193201.4778633</v>
      </c>
      <c r="AX60" t="n">
        <v>64983985.860431</v>
      </c>
      <c r="AY60" t="n">
        <v>6077580.76621769</v>
      </c>
      <c r="AZ60" t="n">
        <v>16580081.8844808</v>
      </c>
      <c r="BA60" t="n">
        <v>18160574.7978363</v>
      </c>
      <c r="BB60" t="n">
        <v>87573774.318965</v>
      </c>
      <c r="BC60" t="n">
        <v>56445245.8127347</v>
      </c>
      <c r="BD60" t="n">
        <v>81315945.8707145</v>
      </c>
      <c r="BE60" t="n">
        <v>9207712.08757629</v>
      </c>
      <c r="BF60" t="n">
        <v>2058308.59577069</v>
      </c>
      <c r="BG60" t="n">
        <v>40784393.3996061</v>
      </c>
      <c r="BH60" t="n">
        <v>73001535.4626771</v>
      </c>
      <c r="BI60" t="n">
        <v>13478686.9623176</v>
      </c>
      <c r="BJ60" t="n">
        <v>4377193.78579536</v>
      </c>
      <c r="BK60" t="n">
        <v>7060904.5306963</v>
      </c>
      <c r="BL60" t="n">
        <v>14133189.7162032</v>
      </c>
      <c r="BM60" t="n">
        <v>15045734.1412156</v>
      </c>
      <c r="BN60" t="n">
        <v>22163520.4053233</v>
      </c>
      <c r="BO60" t="n">
        <v>39691284.446679</v>
      </c>
      <c r="BP60" t="n">
        <v>0</v>
      </c>
      <c r="BQ60" t="n">
        <v>830586.637813089</v>
      </c>
      <c r="BR60" t="n">
        <v>530739.355288749</v>
      </c>
      <c r="BS60" t="n">
        <v>155105082.78647</v>
      </c>
      <c r="BT60" t="n">
        <v>8560387.42325735</v>
      </c>
      <c r="BU60" t="n">
        <v>931762138.676157</v>
      </c>
      <c r="BV60" t="n">
        <v>0</v>
      </c>
      <c r="BW60" t="n">
        <v>0</v>
      </c>
      <c r="BX60" t="n">
        <v>0</v>
      </c>
      <c r="BY60" t="n">
        <v>196141966.442472</v>
      </c>
      <c r="BZ60" t="n">
        <v>0</v>
      </c>
      <c r="CA60" t="n">
        <v>149988917.152199</v>
      </c>
      <c r="CB60" t="n">
        <v>-53430972.273035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156</v>
      </c>
      <c r="B61" t="n">
        <v>1715788.55011589</v>
      </c>
      <c r="C61" t="n">
        <v>151868.795717901</v>
      </c>
      <c r="D61" t="n">
        <v>3435.66104169251</v>
      </c>
      <c r="E61" t="n">
        <v>4460606.04080653</v>
      </c>
      <c r="F61" t="n">
        <v>82116.7862036273</v>
      </c>
      <c r="G61" t="n">
        <v>33586582.0191809</v>
      </c>
      <c r="H61" t="n">
        <v>57363246.8882994</v>
      </c>
      <c r="I61" t="n">
        <v>5050049.15756153</v>
      </c>
      <c r="J61" t="n">
        <v>5427877.2572172</v>
      </c>
      <c r="K61" t="n">
        <v>4263326.31840949</v>
      </c>
      <c r="L61" t="n">
        <v>23771795.2685221</v>
      </c>
      <c r="M61" t="n">
        <v>33875104.3295094</v>
      </c>
      <c r="N61" t="n">
        <v>1513797.05448811</v>
      </c>
      <c r="O61" t="n">
        <v>3504046.43704591</v>
      </c>
      <c r="P61" t="n">
        <v>18958494.1958575</v>
      </c>
      <c r="Q61" t="n">
        <v>18544396.1903663</v>
      </c>
      <c r="R61" t="n">
        <v>2995182.41559693</v>
      </c>
      <c r="S61" t="n">
        <v>4088637.97166997</v>
      </c>
      <c r="T61" t="n">
        <v>8568117.42633626</v>
      </c>
      <c r="U61" t="n">
        <v>6700417.17735225</v>
      </c>
      <c r="V61" t="n">
        <v>121025.194205195</v>
      </c>
      <c r="W61" t="n">
        <v>11517265.8508945</v>
      </c>
      <c r="X61" t="n">
        <v>3750356.56711314</v>
      </c>
      <c r="Y61" t="n">
        <v>1037644.59869961</v>
      </c>
      <c r="Z61" t="n">
        <v>3760825.67695846</v>
      </c>
      <c r="AA61" t="n">
        <v>21106554.2741438</v>
      </c>
      <c r="AB61" t="n">
        <v>193750368.53528</v>
      </c>
      <c r="AC61" t="n">
        <v>48277432.7029177</v>
      </c>
      <c r="AD61" t="n">
        <v>11027583.7935192</v>
      </c>
      <c r="AE61" t="n">
        <v>26116454.5863402</v>
      </c>
      <c r="AF61" t="n">
        <v>54870319.3640927</v>
      </c>
      <c r="AG61" t="n">
        <v>792636.314604419</v>
      </c>
      <c r="AH61" t="n">
        <v>7531353.25840781</v>
      </c>
      <c r="AI61" t="n">
        <v>286478.382475187</v>
      </c>
      <c r="AJ61" t="n">
        <v>7837851.48590538</v>
      </c>
      <c r="AK61" t="n">
        <v>737622.281009618</v>
      </c>
      <c r="AL61" t="n">
        <v>9581.12724176658</v>
      </c>
      <c r="AM61" t="n">
        <v>2458048.24559849</v>
      </c>
      <c r="AN61" t="n">
        <v>4758689.84532103</v>
      </c>
      <c r="AO61" t="n">
        <v>22933891.7554148</v>
      </c>
      <c r="AP61" t="n">
        <v>1734188.92898861</v>
      </c>
      <c r="AQ61" t="n">
        <v>33639446.0287144</v>
      </c>
      <c r="AR61" t="n">
        <v>36196751.0537854</v>
      </c>
      <c r="AS61" t="n">
        <v>40358893.1208549</v>
      </c>
      <c r="AT61" t="n">
        <v>22928758.0634576</v>
      </c>
      <c r="AU61" t="n">
        <v>49582630.1617142</v>
      </c>
      <c r="AV61" t="n">
        <v>8772528.41575199</v>
      </c>
      <c r="AW61" t="n">
        <v>8555073.20131846</v>
      </c>
      <c r="AX61" t="n">
        <v>25084362.8301012</v>
      </c>
      <c r="AY61" t="n">
        <v>5048238.10727409</v>
      </c>
      <c r="AZ61" t="n">
        <v>29840585.506323</v>
      </c>
      <c r="BA61" t="n">
        <v>37282531.1359795</v>
      </c>
      <c r="BB61" t="n">
        <v>75759439.1688705</v>
      </c>
      <c r="BC61" t="n">
        <v>13543914.0804888</v>
      </c>
      <c r="BD61" t="n">
        <v>192226614.933087</v>
      </c>
      <c r="BE61" t="n">
        <v>12211499.4227732</v>
      </c>
      <c r="BF61" t="n">
        <v>9586676.30278683</v>
      </c>
      <c r="BG61" t="n">
        <v>42533643.1039742</v>
      </c>
      <c r="BH61" t="n">
        <v>24501170.4271107</v>
      </c>
      <c r="BI61" t="n">
        <v>10363789.8152769</v>
      </c>
      <c r="BJ61" t="n">
        <v>11042825.220913</v>
      </c>
      <c r="BK61" t="n">
        <v>1920415.2989231</v>
      </c>
      <c r="BL61" t="n">
        <v>9664686.83687669</v>
      </c>
      <c r="BM61" t="n">
        <v>15229466.3165292</v>
      </c>
      <c r="BN61" t="n">
        <v>59437149.8583054</v>
      </c>
      <c r="BO61" t="n">
        <v>34460661.8627323</v>
      </c>
      <c r="BP61" t="n">
        <v>51552091.2140195</v>
      </c>
      <c r="BQ61" t="n">
        <v>95666609.9589254</v>
      </c>
      <c r="BR61" t="n">
        <v>1012644.58051985</v>
      </c>
      <c r="BS61" t="n">
        <v>459981491.104233</v>
      </c>
      <c r="BT61" t="n">
        <v>40069231.8679924</v>
      </c>
      <c r="BU61" t="n">
        <v>0</v>
      </c>
      <c r="BV61" t="n">
        <v>0</v>
      </c>
      <c r="BW61" t="n">
        <v>245586510.697568</v>
      </c>
      <c r="BX61" t="n">
        <v>1364933173.49984</v>
      </c>
      <c r="BY61" t="n">
        <v>0</v>
      </c>
      <c r="BZ61" t="n">
        <v>0</v>
      </c>
      <c r="CA61" t="n">
        <v>263631705.179001</v>
      </c>
      <c r="CB61" t="n">
        <v>-294715284.617645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14732028.2048176</v>
      </c>
      <c r="CN61" t="n">
        <v>97779730.8632934</v>
      </c>
    </row>
    <row r="62">
      <c r="A62" t="s">
        <v>157</v>
      </c>
      <c r="B62" t="n">
        <v>1925237.86201126</v>
      </c>
      <c r="C62" t="n">
        <v>605053.297761915</v>
      </c>
      <c r="D62" t="n">
        <v>804.830721632444</v>
      </c>
      <c r="E62" t="n">
        <v>3670734.86953375</v>
      </c>
      <c r="F62" t="n">
        <v>375532.544256685</v>
      </c>
      <c r="G62" t="n">
        <v>55333027.472385</v>
      </c>
      <c r="H62" t="n">
        <v>141728269.623946</v>
      </c>
      <c r="I62" t="n">
        <v>7349212.92463555</v>
      </c>
      <c r="J62" t="n">
        <v>9034992.46195569</v>
      </c>
      <c r="K62" t="n">
        <v>8590162.79896562</v>
      </c>
      <c r="L62" t="n">
        <v>20701190.5483413</v>
      </c>
      <c r="M62" t="n">
        <v>22169381.8993523</v>
      </c>
      <c r="N62" t="n">
        <v>5891632.8442115</v>
      </c>
      <c r="O62" t="n">
        <v>13285291.6821659</v>
      </c>
      <c r="P62" t="n">
        <v>47357906.0664433</v>
      </c>
      <c r="Q62" t="n">
        <v>9472868.63845132</v>
      </c>
      <c r="R62" t="n">
        <v>6181463.10486677</v>
      </c>
      <c r="S62" t="n">
        <v>9947463.06512834</v>
      </c>
      <c r="T62" t="n">
        <v>21398179.9128054</v>
      </c>
      <c r="U62" t="n">
        <v>13299703.2358534</v>
      </c>
      <c r="V62" t="n">
        <v>556938.792700728</v>
      </c>
      <c r="W62" t="n">
        <v>24349738.806709</v>
      </c>
      <c r="X62" t="n">
        <v>3783141.27429451</v>
      </c>
      <c r="Y62" t="n">
        <v>1286833.57054473</v>
      </c>
      <c r="Z62" t="n">
        <v>32218049.5593424</v>
      </c>
      <c r="AA62" t="n">
        <v>41493993.664571</v>
      </c>
      <c r="AB62" t="n">
        <v>367810739.911594</v>
      </c>
      <c r="AC62" t="n">
        <v>76458161.5525124</v>
      </c>
      <c r="AD62" t="n">
        <v>34953536.6411195</v>
      </c>
      <c r="AE62" t="n">
        <v>21995537.9008672</v>
      </c>
      <c r="AF62" t="n">
        <v>168862347.020347</v>
      </c>
      <c r="AG62" t="n">
        <v>714635.207650901</v>
      </c>
      <c r="AH62" t="n">
        <v>3356274.91386139</v>
      </c>
      <c r="AI62" t="n">
        <v>2291363.70678479</v>
      </c>
      <c r="AJ62" t="n">
        <v>10449871.4687788</v>
      </c>
      <c r="AK62" t="n">
        <v>1229664.09855812</v>
      </c>
      <c r="AL62" t="n">
        <v>229592.73378241</v>
      </c>
      <c r="AM62" t="n">
        <v>7010605.57232278</v>
      </c>
      <c r="AN62" t="n">
        <v>10024408.8834479</v>
      </c>
      <c r="AO62" t="n">
        <v>19942907.1447844</v>
      </c>
      <c r="AP62" t="n">
        <v>4829234.70290176</v>
      </c>
      <c r="AQ62" t="n">
        <v>85090086.8436773</v>
      </c>
      <c r="AR62" t="n">
        <v>37217828.0502599</v>
      </c>
      <c r="AS62" t="n">
        <v>72975190.6062011</v>
      </c>
      <c r="AT62" t="n">
        <v>35530458.6380236</v>
      </c>
      <c r="AU62" t="n">
        <v>73963961.3589502</v>
      </c>
      <c r="AV62" t="n">
        <v>6228040.2516243</v>
      </c>
      <c r="AW62" t="n">
        <v>7076026.78478496</v>
      </c>
      <c r="AX62" t="n">
        <v>87097017.8437921</v>
      </c>
      <c r="AY62" t="n">
        <v>21822619.5011379</v>
      </c>
      <c r="AZ62" t="n">
        <v>21132426.1858971</v>
      </c>
      <c r="BA62" t="n">
        <v>40875813.2793192</v>
      </c>
      <c r="BB62" t="n">
        <v>281635068.58022</v>
      </c>
      <c r="BC62" t="n">
        <v>85717842.9294192</v>
      </c>
      <c r="BD62" t="n">
        <v>170186928.504794</v>
      </c>
      <c r="BE62" t="n">
        <v>18598372.1240134</v>
      </c>
      <c r="BF62" t="n">
        <v>11965579.4354811</v>
      </c>
      <c r="BG62" t="n">
        <v>83155984.9129827</v>
      </c>
      <c r="BH62" t="n">
        <v>59970290.0682229</v>
      </c>
      <c r="BI62" t="n">
        <v>26027371.4644353</v>
      </c>
      <c r="BJ62" t="n">
        <v>11855352.5412087</v>
      </c>
      <c r="BK62" t="n">
        <v>9002941.13715848</v>
      </c>
      <c r="BL62" t="n">
        <v>18779599.7400243</v>
      </c>
      <c r="BM62" t="n">
        <v>33903567.1353228</v>
      </c>
      <c r="BN62" t="n">
        <v>77312456.1610591</v>
      </c>
      <c r="BO62" t="n">
        <v>85261550.2427393</v>
      </c>
      <c r="BP62" t="n">
        <v>171279620.314102</v>
      </c>
      <c r="BQ62" t="n">
        <v>31383781.9427348</v>
      </c>
      <c r="BR62" t="n">
        <v>3507065.81578054</v>
      </c>
      <c r="BS62" t="n">
        <v>270879230.491272</v>
      </c>
      <c r="BT62" t="n">
        <v>47085434.7262915</v>
      </c>
      <c r="BU62" t="n">
        <v>202424035.631595</v>
      </c>
      <c r="BV62" t="n">
        <v>0</v>
      </c>
      <c r="BW62" t="n">
        <v>102583054.102668</v>
      </c>
      <c r="BX62" t="n">
        <v>1081793040.68014</v>
      </c>
      <c r="BY62" t="n">
        <v>8368015.76747399</v>
      </c>
      <c r="BZ62" t="n">
        <v>0</v>
      </c>
      <c r="CA62" t="n">
        <v>1455223755.3505</v>
      </c>
      <c r="CB62" t="n">
        <v>-887711621.283433</v>
      </c>
      <c r="CC62" t="n">
        <v>0</v>
      </c>
      <c r="CD62" t="n">
        <v>0</v>
      </c>
      <c r="CE62" t="n">
        <v>0</v>
      </c>
      <c r="CF62" t="n">
        <v>58835243.1242038</v>
      </c>
      <c r="CG62" t="n">
        <v>0</v>
      </c>
      <c r="CH62" t="n">
        <v>0</v>
      </c>
      <c r="CI62" t="n">
        <v>0</v>
      </c>
      <c r="CJ62" t="n">
        <v>49391011.712727</v>
      </c>
      <c r="CK62" t="n">
        <v>0</v>
      </c>
      <c r="CL62" t="n">
        <v>0</v>
      </c>
      <c r="CM62" t="n">
        <v>0</v>
      </c>
      <c r="CN62" t="n">
        <v>58551452.4248717</v>
      </c>
    </row>
    <row r="63">
      <c r="A63" t="s">
        <v>158</v>
      </c>
      <c r="B63" t="n">
        <v>0</v>
      </c>
      <c r="C63" t="n">
        <v>0</v>
      </c>
      <c r="D63" t="n">
        <v>17687.8757826571</v>
      </c>
      <c r="E63" t="n">
        <v>39529847.7205011</v>
      </c>
      <c r="F63" t="n">
        <v>2894417.8560298</v>
      </c>
      <c r="G63" t="n">
        <v>710118.300802737</v>
      </c>
      <c r="H63" t="n">
        <v>94218042.797736</v>
      </c>
      <c r="I63" t="n">
        <v>6141022.85983345</v>
      </c>
      <c r="J63" t="n">
        <v>26307312.9518533</v>
      </c>
      <c r="K63" t="n">
        <v>10785135.446451</v>
      </c>
      <c r="L63" t="n">
        <v>57053937.4985994</v>
      </c>
      <c r="M63" t="n">
        <v>172687063.228667</v>
      </c>
      <c r="N63" t="n">
        <v>11327999.447187</v>
      </c>
      <c r="O63" t="n">
        <v>56636845.6190961</v>
      </c>
      <c r="P63" t="n">
        <v>188549546.541735</v>
      </c>
      <c r="Q63" t="n">
        <v>24790810.2697093</v>
      </c>
      <c r="R63" t="n">
        <v>4660347.85938564</v>
      </c>
      <c r="S63" t="n">
        <v>29800982.3365987</v>
      </c>
      <c r="T63" t="n">
        <v>138881060.037042</v>
      </c>
      <c r="U63" t="n">
        <v>49952374.3725028</v>
      </c>
      <c r="V63" t="n">
        <v>3124133.345425</v>
      </c>
      <c r="W63" t="n">
        <v>67584038.4550402</v>
      </c>
      <c r="X63" t="n">
        <v>3114473.12346946</v>
      </c>
      <c r="Y63" t="n">
        <v>6757306.22224104</v>
      </c>
      <c r="Z63" t="n">
        <v>163789060.804301</v>
      </c>
      <c r="AA63" t="n">
        <v>57603388.9033801</v>
      </c>
      <c r="AB63" t="n">
        <v>739655761.983629</v>
      </c>
      <c r="AC63" t="n">
        <v>17133854.3942813</v>
      </c>
      <c r="AD63" t="n">
        <v>47425130.7408096</v>
      </c>
      <c r="AE63" t="n">
        <v>142469048.917924</v>
      </c>
      <c r="AF63" t="n">
        <v>201202697.688699</v>
      </c>
      <c r="AG63" t="n">
        <v>8642320.36825204</v>
      </c>
      <c r="AH63" t="n">
        <v>65891.0223774777</v>
      </c>
      <c r="AI63" t="n">
        <v>5039313.15162104</v>
      </c>
      <c r="AJ63" t="n">
        <v>35527474.6016809</v>
      </c>
      <c r="AK63" t="n">
        <v>498296.219894063</v>
      </c>
      <c r="AL63" t="n">
        <v>1512.81859666809</v>
      </c>
      <c r="AM63" t="n">
        <v>52633399.1121465</v>
      </c>
      <c r="AN63" t="n">
        <v>17986202.7409468</v>
      </c>
      <c r="AO63" t="n">
        <v>10077323.0589635</v>
      </c>
      <c r="AP63" t="n">
        <v>1083000.70286176</v>
      </c>
      <c r="AQ63" t="n">
        <v>27803236.9137211</v>
      </c>
      <c r="AR63" t="n">
        <v>8398288.08986074</v>
      </c>
      <c r="AS63" t="n">
        <v>28843566.2289262</v>
      </c>
      <c r="AT63" t="n">
        <v>32474958.7013594</v>
      </c>
      <c r="AU63" t="n">
        <v>33228908.9813371</v>
      </c>
      <c r="AV63" t="n">
        <v>5895996.15236551</v>
      </c>
      <c r="AW63" t="n">
        <v>205516.565207714</v>
      </c>
      <c r="AX63" t="n">
        <v>108232533.88636</v>
      </c>
      <c r="AY63" t="n">
        <v>74028903.625209</v>
      </c>
      <c r="AZ63" t="n">
        <v>25397630.8282521</v>
      </c>
      <c r="BA63" t="n">
        <v>18823722.5966371</v>
      </c>
      <c r="BB63" t="n">
        <v>97519748.5372453</v>
      </c>
      <c r="BC63" t="n">
        <v>256415.991950116</v>
      </c>
      <c r="BD63" t="n">
        <v>187887622.227028</v>
      </c>
      <c r="BE63" t="n">
        <v>65052622.6225541</v>
      </c>
      <c r="BF63" t="n">
        <v>31793668.4434802</v>
      </c>
      <c r="BG63" t="n">
        <v>377533792.609089</v>
      </c>
      <c r="BH63" t="n">
        <v>42556542.2394238</v>
      </c>
      <c r="BI63" t="n">
        <v>49612466.0352204</v>
      </c>
      <c r="BJ63" t="n">
        <v>11072125.0150491</v>
      </c>
      <c r="BK63" t="n">
        <v>11095457.1043047</v>
      </c>
      <c r="BL63" t="n">
        <v>19603168.3342648</v>
      </c>
      <c r="BM63" t="n">
        <v>224364191.279663</v>
      </c>
      <c r="BN63" t="n">
        <v>442387939.339539</v>
      </c>
      <c r="BO63" t="n">
        <v>86965780.0072195</v>
      </c>
      <c r="BP63" t="n">
        <v>0</v>
      </c>
      <c r="BQ63" t="n">
        <v>0</v>
      </c>
      <c r="BR63" t="n">
        <v>1228984.72226347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32952261.1950234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159</v>
      </c>
      <c r="B64" t="n">
        <v>1252603.37110039</v>
      </c>
      <c r="C64" t="n">
        <v>117554.226085806</v>
      </c>
      <c r="D64" t="n">
        <v>298.48253516249</v>
      </c>
      <c r="E64" t="n">
        <v>3143281.56571832</v>
      </c>
      <c r="F64" t="n">
        <v>991402.475093606</v>
      </c>
      <c r="G64" t="n">
        <v>115301727.734171</v>
      </c>
      <c r="H64" t="n">
        <v>61114695.1831754</v>
      </c>
      <c r="I64" t="n">
        <v>7508023.29921005</v>
      </c>
      <c r="J64" t="n">
        <v>11731656.1370006</v>
      </c>
      <c r="K64" t="n">
        <v>34020054.0874185</v>
      </c>
      <c r="L64" t="n">
        <v>102049358.354651</v>
      </c>
      <c r="M64" t="n">
        <v>38666317.5070087</v>
      </c>
      <c r="N64" t="n">
        <v>5431007.61582862</v>
      </c>
      <c r="O64" t="n">
        <v>11666525.2112677</v>
      </c>
      <c r="P64" t="n">
        <v>69826374.5372988</v>
      </c>
      <c r="Q64" t="n">
        <v>34547957.2669074</v>
      </c>
      <c r="R64" t="n">
        <v>3115366.08516353</v>
      </c>
      <c r="S64" t="n">
        <v>11051523.0206517</v>
      </c>
      <c r="T64" t="n">
        <v>17862076.9919997</v>
      </c>
      <c r="U64" t="n">
        <v>12381063.4770839</v>
      </c>
      <c r="V64" t="n">
        <v>2843349.6872669</v>
      </c>
      <c r="W64" t="n">
        <v>36660988.7694846</v>
      </c>
      <c r="X64" t="n">
        <v>18372003.3357823</v>
      </c>
      <c r="Y64" t="n">
        <v>2675783.90100348</v>
      </c>
      <c r="Z64" t="n">
        <v>38347639.4921348</v>
      </c>
      <c r="AA64" t="n">
        <v>50342237.3526396</v>
      </c>
      <c r="AB64" t="n">
        <v>478735233.685806</v>
      </c>
      <c r="AC64" t="n">
        <v>51532355.0394156</v>
      </c>
      <c r="AD64" t="n">
        <v>25252651.0341043</v>
      </c>
      <c r="AE64" t="n">
        <v>52787786.6471612</v>
      </c>
      <c r="AF64" t="n">
        <v>132076093.214375</v>
      </c>
      <c r="AG64" t="n">
        <v>5515290.60978212</v>
      </c>
      <c r="AH64" t="n">
        <v>3663167.10270167</v>
      </c>
      <c r="AI64" t="n">
        <v>16466125.3822836</v>
      </c>
      <c r="AJ64" t="n">
        <v>74388633.705418</v>
      </c>
      <c r="AK64" t="n">
        <v>13188849.5955536</v>
      </c>
      <c r="AL64" t="n">
        <v>1095323.74928171</v>
      </c>
      <c r="AM64" t="n">
        <v>64129349.5805939</v>
      </c>
      <c r="AN64" t="n">
        <v>55062047.6949209</v>
      </c>
      <c r="AO64" t="n">
        <v>41072354.4160961</v>
      </c>
      <c r="AP64" t="n">
        <v>3060603.13091579</v>
      </c>
      <c r="AQ64" t="n">
        <v>210277520.812279</v>
      </c>
      <c r="AR64" t="n">
        <v>46705202.0606214</v>
      </c>
      <c r="AS64" t="n">
        <v>84802435.5544383</v>
      </c>
      <c r="AT64" t="n">
        <v>27946702.0162122</v>
      </c>
      <c r="AU64" t="n">
        <v>58708371.7664697</v>
      </c>
      <c r="AV64" t="n">
        <v>614931.84264359</v>
      </c>
      <c r="AW64" t="n">
        <v>21822804.2794701</v>
      </c>
      <c r="AX64" t="n">
        <v>600806932.288804</v>
      </c>
      <c r="AY64" t="n">
        <v>127451733.205758</v>
      </c>
      <c r="AZ64" t="n">
        <v>51131228.9625113</v>
      </c>
      <c r="BA64" t="n">
        <v>112105488.156504</v>
      </c>
      <c r="BB64" t="n">
        <v>291871201.387891</v>
      </c>
      <c r="BC64" t="n">
        <v>75193978.719541</v>
      </c>
      <c r="BD64" t="n">
        <v>703506149.501349</v>
      </c>
      <c r="BE64" t="n">
        <v>78520690.4486294</v>
      </c>
      <c r="BF64" t="n">
        <v>19399071.0610709</v>
      </c>
      <c r="BG64" t="n">
        <v>200995278.263098</v>
      </c>
      <c r="BH64" t="n">
        <v>139536167.612355</v>
      </c>
      <c r="BI64" t="n">
        <v>65898416.1600885</v>
      </c>
      <c r="BJ64" t="n">
        <v>16126160.4408529</v>
      </c>
      <c r="BK64" t="n">
        <v>13263461.2981226</v>
      </c>
      <c r="BL64" t="n">
        <v>18559617.0192726</v>
      </c>
      <c r="BM64" t="n">
        <v>54024681.0527623</v>
      </c>
      <c r="BN64" t="n">
        <v>88142226.7490262</v>
      </c>
      <c r="BO64" t="n">
        <v>118772620.048443</v>
      </c>
      <c r="BP64" t="n">
        <v>50934373.3358995</v>
      </c>
      <c r="BQ64" t="n">
        <v>61420197.0494257</v>
      </c>
      <c r="BR64" t="n">
        <v>3617421.49813617</v>
      </c>
      <c r="BS64" t="n">
        <v>401562147.288627</v>
      </c>
      <c r="BT64" t="n">
        <v>42995634.3567165</v>
      </c>
      <c r="BU64" t="n">
        <v>547257975.769107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42894778.4942694</v>
      </c>
      <c r="CB64" t="n">
        <v>-25744349.3260355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160</v>
      </c>
      <c r="B65" t="n">
        <v>43763.6725800357</v>
      </c>
      <c r="C65" t="n">
        <v>730.865499249751</v>
      </c>
      <c r="D65" t="n">
        <v>35.903874412539</v>
      </c>
      <c r="E65" t="n">
        <v>53750.5785050464</v>
      </c>
      <c r="F65" t="n">
        <v>6210.44800741497</v>
      </c>
      <c r="G65" t="n">
        <v>567765.098837015</v>
      </c>
      <c r="H65" t="n">
        <v>1358885.67050058</v>
      </c>
      <c r="I65" t="n">
        <v>132299.528150476</v>
      </c>
      <c r="J65" t="n">
        <v>234561.595111068</v>
      </c>
      <c r="K65" t="n">
        <v>233296.511685602</v>
      </c>
      <c r="L65" t="n">
        <v>357923.911907473</v>
      </c>
      <c r="M65" t="n">
        <v>298360.07174549</v>
      </c>
      <c r="N65" t="n">
        <v>19750.7267109522</v>
      </c>
      <c r="O65" t="n">
        <v>115505.624852397</v>
      </c>
      <c r="P65" t="n">
        <v>347057.864151194</v>
      </c>
      <c r="Q65" t="n">
        <v>106384.66157812</v>
      </c>
      <c r="R65" t="n">
        <v>72367.8761463257</v>
      </c>
      <c r="S65" t="n">
        <v>60577.4776136211</v>
      </c>
      <c r="T65" t="n">
        <v>526612.851227017</v>
      </c>
      <c r="U65" t="n">
        <v>264981.538104232</v>
      </c>
      <c r="V65" t="n">
        <v>866.563145483213</v>
      </c>
      <c r="W65" t="n">
        <v>684037.752003378</v>
      </c>
      <c r="X65" t="n">
        <v>46276.2006258753</v>
      </c>
      <c r="Y65" t="n">
        <v>51982.1560406238</v>
      </c>
      <c r="Z65" t="n">
        <v>1019210.07794132</v>
      </c>
      <c r="AA65" t="n">
        <v>704339.435140133</v>
      </c>
      <c r="AB65" t="n">
        <v>1423029.05629649</v>
      </c>
      <c r="AC65" t="n">
        <v>564141.940942358</v>
      </c>
      <c r="AD65" t="n">
        <v>287251.671527685</v>
      </c>
      <c r="AE65" t="n">
        <v>207899.509988061</v>
      </c>
      <c r="AF65" t="n">
        <v>667272.265332215</v>
      </c>
      <c r="AG65" t="n">
        <v>13379.5797748777</v>
      </c>
      <c r="AH65" t="n">
        <v>60092.4487516655</v>
      </c>
      <c r="AI65" t="n">
        <v>2396.00499683831</v>
      </c>
      <c r="AJ65" t="n">
        <v>574108.475369727</v>
      </c>
      <c r="AK65" t="n">
        <v>7244.7869682644</v>
      </c>
      <c r="AL65" t="n">
        <v>8819.80993003379</v>
      </c>
      <c r="AM65" t="n">
        <v>155755.662462866</v>
      </c>
      <c r="AN65" t="n">
        <v>192828.003163717</v>
      </c>
      <c r="AO65" t="n">
        <v>9926.23540195979</v>
      </c>
      <c r="AP65" t="n">
        <v>7623.14123340517</v>
      </c>
      <c r="AQ65" t="n">
        <v>42688.7928156387</v>
      </c>
      <c r="AR65" t="n">
        <v>14423.932169696</v>
      </c>
      <c r="AS65" t="n">
        <v>150184.212779198</v>
      </c>
      <c r="AT65" t="n">
        <v>23292.11955184</v>
      </c>
      <c r="AU65" t="n">
        <v>632572.500127043</v>
      </c>
      <c r="AV65" t="n">
        <v>152246.868564952</v>
      </c>
      <c r="AW65" t="n">
        <v>1886.88520488314</v>
      </c>
      <c r="AX65" t="n">
        <v>20832888.5286392</v>
      </c>
      <c r="AY65" t="n">
        <v>395866.10510246</v>
      </c>
      <c r="AZ65" t="n">
        <v>145600.32723736</v>
      </c>
      <c r="BA65" t="n">
        <v>101926.693379402</v>
      </c>
      <c r="BB65" t="n">
        <v>1003630.53564777</v>
      </c>
      <c r="BC65" t="n">
        <v>266830.1845758</v>
      </c>
      <c r="BD65" t="n">
        <v>1792380.00233865</v>
      </c>
      <c r="BE65" t="n">
        <v>19503024.5732985</v>
      </c>
      <c r="BF65" t="n">
        <v>99373.140964362</v>
      </c>
      <c r="BG65" t="n">
        <v>1176458.62639616</v>
      </c>
      <c r="BH65" t="n">
        <v>693854.421234929</v>
      </c>
      <c r="BI65" t="n">
        <v>521512.254538129</v>
      </c>
      <c r="BJ65" t="n">
        <v>210495.927617759</v>
      </c>
      <c r="BK65" t="n">
        <v>29922.6534034117</v>
      </c>
      <c r="BL65" t="n">
        <v>310213.924246145</v>
      </c>
      <c r="BM65" t="n">
        <v>881473.674437465</v>
      </c>
      <c r="BN65" t="n">
        <v>1427673.38350514</v>
      </c>
      <c r="BO65" t="n">
        <v>1052368.63717051</v>
      </c>
      <c r="BP65" t="n">
        <v>83846.78850585</v>
      </c>
      <c r="BQ65" t="n">
        <v>595232.541800142</v>
      </c>
      <c r="BR65" t="n">
        <v>129109.664453976</v>
      </c>
      <c r="BS65" t="n">
        <v>22240628.0333303</v>
      </c>
      <c r="BT65" t="n">
        <v>2341518.85266943</v>
      </c>
      <c r="BU65" t="n">
        <v>22676906.7085942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6395248.14273623</v>
      </c>
      <c r="CB65" t="n">
        <v>-4514400.8313551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161</v>
      </c>
      <c r="B66" t="n">
        <v>2544.8469932364</v>
      </c>
      <c r="C66" t="n">
        <v>0</v>
      </c>
      <c r="D66" t="n">
        <v>0</v>
      </c>
      <c r="E66" t="n">
        <v>0</v>
      </c>
      <c r="F66" t="n">
        <v>0</v>
      </c>
      <c r="G66" t="n">
        <v>542521.433814509</v>
      </c>
      <c r="H66" t="n">
        <v>15108.9695922052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60666.8628731466</v>
      </c>
      <c r="Y66" t="n">
        <v>3100.59868282158</v>
      </c>
      <c r="Z66" t="n">
        <v>0</v>
      </c>
      <c r="AA66" t="n">
        <v>12194.032496054</v>
      </c>
      <c r="AB66" t="n">
        <v>5158132.50709916</v>
      </c>
      <c r="AC66" t="n">
        <v>279548.300716415</v>
      </c>
      <c r="AD66" t="n">
        <v>1805689.82027688</v>
      </c>
      <c r="AE66" t="n">
        <v>0</v>
      </c>
      <c r="AF66" t="n">
        <v>8596392.45955515</v>
      </c>
      <c r="AG66" t="n">
        <v>80677.2221642607</v>
      </c>
      <c r="AH66" t="n">
        <v>18644.4114156876</v>
      </c>
      <c r="AI66" t="n">
        <v>0</v>
      </c>
      <c r="AJ66" t="n">
        <v>0</v>
      </c>
      <c r="AK66" t="n">
        <v>0</v>
      </c>
      <c r="AL66" t="n">
        <v>1605.24214619092</v>
      </c>
      <c r="AM66" t="n">
        <v>91144.7792356508</v>
      </c>
      <c r="AN66" t="n">
        <v>0</v>
      </c>
      <c r="AO66" t="n">
        <v>0</v>
      </c>
      <c r="AP66" t="n">
        <v>0</v>
      </c>
      <c r="AQ66" t="n">
        <v>42901.3626219919</v>
      </c>
      <c r="AR66" t="n">
        <v>105736.189301576</v>
      </c>
      <c r="AS66" t="n">
        <v>63113.3778060292</v>
      </c>
      <c r="AT66" t="n">
        <v>7178.48497714081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146053.838375313</v>
      </c>
      <c r="BB66" t="n">
        <v>85830.1975054605</v>
      </c>
      <c r="BC66" t="n">
        <v>0</v>
      </c>
      <c r="BD66" t="n">
        <v>954048.102203856</v>
      </c>
      <c r="BE66" t="n">
        <v>0</v>
      </c>
      <c r="BF66" t="n">
        <v>4282172.47135686</v>
      </c>
      <c r="BG66" t="n">
        <v>0</v>
      </c>
      <c r="BH66" t="n">
        <v>8169.42108347965</v>
      </c>
      <c r="BI66" t="n">
        <v>0</v>
      </c>
      <c r="BJ66" t="n">
        <v>0</v>
      </c>
      <c r="BK66" t="n">
        <v>3530465.39563238</v>
      </c>
      <c r="BL66" t="n">
        <v>726800.180007112</v>
      </c>
      <c r="BM66" t="n">
        <v>0</v>
      </c>
      <c r="BN66" t="n">
        <v>0</v>
      </c>
      <c r="BO66" t="n">
        <v>6656680.77857548</v>
      </c>
      <c r="BP66" t="n">
        <v>0</v>
      </c>
      <c r="BQ66" t="n">
        <v>52016.1481445131</v>
      </c>
      <c r="BR66" t="n">
        <v>305954.376843264</v>
      </c>
      <c r="BS66" t="n">
        <v>42609860.8079021</v>
      </c>
      <c r="BT66" t="n">
        <v>21141.3501423321</v>
      </c>
      <c r="BU66" t="n">
        <v>1346592174.1326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22670623.5430505</v>
      </c>
      <c r="CB66" t="n">
        <v>-22414229.1197916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743181.437213957</v>
      </c>
      <c r="BC67" t="n">
        <v>0</v>
      </c>
      <c r="BD67" t="n">
        <v>1298667.48466258</v>
      </c>
      <c r="BE67" t="n">
        <v>0</v>
      </c>
      <c r="BF67" t="n">
        <v>0</v>
      </c>
      <c r="BG67" t="n">
        <v>190897197.903118</v>
      </c>
      <c r="BH67" t="n">
        <v>77886205.3595239</v>
      </c>
      <c r="BI67" t="n">
        <v>1128074.24593968</v>
      </c>
      <c r="BJ67" t="n">
        <v>7805.77792299733</v>
      </c>
      <c r="BK67" t="n">
        <v>617581.791913685</v>
      </c>
      <c r="BL67" t="n">
        <v>31000.8591509932</v>
      </c>
      <c r="BM67" t="n">
        <v>0</v>
      </c>
      <c r="BN67" t="n">
        <v>0</v>
      </c>
      <c r="BO67" t="n">
        <v>664884.569668357</v>
      </c>
      <c r="BP67" t="n">
        <v>0</v>
      </c>
      <c r="BQ67" t="n">
        <v>6099260.40645046</v>
      </c>
      <c r="BR67" t="n">
        <v>0</v>
      </c>
      <c r="BS67" t="n">
        <v>168089779.044109</v>
      </c>
      <c r="BT67" t="n">
        <v>0</v>
      </c>
      <c r="BU67" t="n">
        <v>14749613167.2757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12858492.3254211</v>
      </c>
      <c r="CB67" t="n">
        <v>-5217757.3621673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5613582.81965514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14667161412.1667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36128932.3261195</v>
      </c>
      <c r="CB68" t="n">
        <v>-71201927.4499788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19195027.79154</v>
      </c>
      <c r="BR69" t="n">
        <v>0</v>
      </c>
      <c r="BS69" t="n">
        <v>20134818.4523425</v>
      </c>
      <c r="BT69" t="n">
        <v>0</v>
      </c>
      <c r="BU69" t="n">
        <v>3307603087.93365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3240762.41057936</v>
      </c>
      <c r="CB69" t="n">
        <v>-1496391.22676578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3209955096.37413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166</v>
      </c>
      <c r="B71" t="n">
        <v>182513.822345953</v>
      </c>
      <c r="C71" t="n">
        <v>0</v>
      </c>
      <c r="D71" t="n">
        <v>0</v>
      </c>
      <c r="E71" t="n">
        <v>0</v>
      </c>
      <c r="F71" t="n">
        <v>10353.1882230138</v>
      </c>
      <c r="G71" t="n">
        <v>965422.444845377</v>
      </c>
      <c r="H71" t="n">
        <v>1187636.986136</v>
      </c>
      <c r="I71" t="n">
        <v>243548.033961702</v>
      </c>
      <c r="J71" t="n">
        <v>299880.944986401</v>
      </c>
      <c r="K71" t="n">
        <v>350813.703635762</v>
      </c>
      <c r="L71" t="n">
        <v>648144.944523358</v>
      </c>
      <c r="M71" t="n">
        <v>519197.901969972</v>
      </c>
      <c r="N71" t="n">
        <v>11386.5086283719</v>
      </c>
      <c r="O71" t="n">
        <v>85855.3514655351</v>
      </c>
      <c r="P71" t="n">
        <v>625961.323523635</v>
      </c>
      <c r="Q71" t="n">
        <v>80083.0720840157</v>
      </c>
      <c r="R71" t="n">
        <v>106909.722192988</v>
      </c>
      <c r="S71" t="n">
        <v>140379.073118549</v>
      </c>
      <c r="T71" t="n">
        <v>409274.308745297</v>
      </c>
      <c r="U71" t="n">
        <v>200748.532491402</v>
      </c>
      <c r="V71" t="n">
        <v>6827.63532327291</v>
      </c>
      <c r="W71" t="n">
        <v>796107.978904788</v>
      </c>
      <c r="X71" t="n">
        <v>168699.846805018</v>
      </c>
      <c r="Y71" t="n">
        <v>41394.9367399051</v>
      </c>
      <c r="Z71" t="n">
        <v>224770.870023273</v>
      </c>
      <c r="AA71" t="n">
        <v>1936131.55438875</v>
      </c>
      <c r="AB71" t="n">
        <v>18170793.1689564</v>
      </c>
      <c r="AC71" t="n">
        <v>2749762.84371347</v>
      </c>
      <c r="AD71" t="n">
        <v>2754331.99030685</v>
      </c>
      <c r="AE71" t="n">
        <v>655214.589027596</v>
      </c>
      <c r="AF71" t="n">
        <v>3299145.07649312</v>
      </c>
      <c r="AG71" t="n">
        <v>0</v>
      </c>
      <c r="AH71" t="n">
        <v>486177.846933212</v>
      </c>
      <c r="AI71" t="n">
        <v>0</v>
      </c>
      <c r="AJ71" t="n">
        <v>407250.865059232</v>
      </c>
      <c r="AK71" t="n">
        <v>28540.7726326318</v>
      </c>
      <c r="AL71" t="n">
        <v>0</v>
      </c>
      <c r="AM71" t="n">
        <v>1651795.51730336</v>
      </c>
      <c r="AN71" t="n">
        <v>56569.2468271805</v>
      </c>
      <c r="AO71" t="n">
        <v>333133.544694304</v>
      </c>
      <c r="AP71" t="n">
        <v>15260066.8553435</v>
      </c>
      <c r="AQ71" t="n">
        <v>145446412.993321</v>
      </c>
      <c r="AR71" t="n">
        <v>828193.639272623</v>
      </c>
      <c r="AS71" t="n">
        <v>8374285.65595755</v>
      </c>
      <c r="AT71" t="n">
        <v>1219302.65526876</v>
      </c>
      <c r="AU71" t="n">
        <v>862631.142968411</v>
      </c>
      <c r="AV71" t="n">
        <v>1116498.21618802</v>
      </c>
      <c r="AW71" t="n">
        <v>0</v>
      </c>
      <c r="AX71" t="n">
        <v>18871332.7836193</v>
      </c>
      <c r="AY71" t="n">
        <v>1248661.66969941</v>
      </c>
      <c r="AZ71" t="n">
        <v>2366410.13389752</v>
      </c>
      <c r="BA71" t="n">
        <v>2820932.50244251</v>
      </c>
      <c r="BB71" t="n">
        <v>21467019.3746517</v>
      </c>
      <c r="BC71" t="n">
        <v>14155970.1719255</v>
      </c>
      <c r="BD71" t="n">
        <v>14532244.1667792</v>
      </c>
      <c r="BE71" t="n">
        <v>1365662.57659916</v>
      </c>
      <c r="BF71" t="n">
        <v>4662480.4513524</v>
      </c>
      <c r="BG71" t="n">
        <v>5991038.80749337</v>
      </c>
      <c r="BH71" t="n">
        <v>3868824.43357996</v>
      </c>
      <c r="BI71" t="n">
        <v>1175641.59350966</v>
      </c>
      <c r="BJ71" t="n">
        <v>3082808.94542931</v>
      </c>
      <c r="BK71" t="n">
        <v>50243508.4905054</v>
      </c>
      <c r="BL71" t="n">
        <v>3343085.58815486</v>
      </c>
      <c r="BM71" t="n">
        <v>2263097.90899359</v>
      </c>
      <c r="BN71" t="n">
        <v>21192223.2230048</v>
      </c>
      <c r="BO71" t="n">
        <v>8177856.85281412</v>
      </c>
      <c r="BP71" t="n">
        <v>0</v>
      </c>
      <c r="BQ71" t="n">
        <v>79321.0705430775</v>
      </c>
      <c r="BR71" t="n">
        <v>141734.241644791</v>
      </c>
      <c r="BS71" t="n">
        <v>11963362.5664305</v>
      </c>
      <c r="BT71" t="n">
        <v>135119.815718714</v>
      </c>
      <c r="BU71" t="n">
        <v>591972898.884386</v>
      </c>
      <c r="BV71" t="n">
        <v>0</v>
      </c>
      <c r="BW71" t="n">
        <v>0</v>
      </c>
      <c r="BX71" t="n">
        <v>13884055.9351488</v>
      </c>
      <c r="BY71" t="n">
        <v>0</v>
      </c>
      <c r="BZ71" t="n">
        <v>0</v>
      </c>
      <c r="CA71" t="n">
        <v>7364338.97292302</v>
      </c>
      <c r="CB71" t="n">
        <v>-15489277.6447685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167</v>
      </c>
      <c r="B72" t="n">
        <v>32811.2831132186</v>
      </c>
      <c r="C72" t="n">
        <v>0</v>
      </c>
      <c r="D72" t="n">
        <v>0</v>
      </c>
      <c r="E72" t="n">
        <v>0</v>
      </c>
      <c r="F72" t="n">
        <v>3942.89804539476</v>
      </c>
      <c r="G72" t="n">
        <v>278996.887557277</v>
      </c>
      <c r="H72" t="n">
        <v>445264.763461382</v>
      </c>
      <c r="I72" t="n">
        <v>42112.6966080557</v>
      </c>
      <c r="J72" t="n">
        <v>81750.866410813</v>
      </c>
      <c r="K72" t="n">
        <v>43956.78156659</v>
      </c>
      <c r="L72" t="n">
        <v>124259.285826393</v>
      </c>
      <c r="M72" t="n">
        <v>88415.9817140181</v>
      </c>
      <c r="N72" t="n">
        <v>2734.55401687389</v>
      </c>
      <c r="O72" t="n">
        <v>12371.277476673</v>
      </c>
      <c r="P72" t="n">
        <v>118680.969468884</v>
      </c>
      <c r="Q72" t="n">
        <v>15386.0322666622</v>
      </c>
      <c r="R72" t="n">
        <v>25675.1581900405</v>
      </c>
      <c r="S72" t="n">
        <v>26970.4557075456</v>
      </c>
      <c r="T72" t="n">
        <v>57838.0806369364</v>
      </c>
      <c r="U72" t="n">
        <v>0</v>
      </c>
      <c r="V72" t="n">
        <v>0</v>
      </c>
      <c r="W72" t="n">
        <v>102949.108785198</v>
      </c>
      <c r="X72" t="n">
        <v>31366.074028405</v>
      </c>
      <c r="Y72" t="n">
        <v>3807.30612443473</v>
      </c>
      <c r="Z72" t="n">
        <v>44533.8151567071</v>
      </c>
      <c r="AA72" t="n">
        <v>254547.308117306</v>
      </c>
      <c r="AB72" t="n">
        <v>1909195.61518399</v>
      </c>
      <c r="AC72" t="n">
        <v>34326.4661528005</v>
      </c>
      <c r="AD72" t="n">
        <v>160971.58032474</v>
      </c>
      <c r="AE72" t="n">
        <v>13112.8846194006</v>
      </c>
      <c r="AF72" t="n">
        <v>1223909.27445634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18653.1759235583</v>
      </c>
      <c r="AN72" t="n">
        <v>5822.36648368795</v>
      </c>
      <c r="AO72" t="n">
        <v>35380.760400337</v>
      </c>
      <c r="AP72" t="n">
        <v>15051.6253772294</v>
      </c>
      <c r="AQ72" t="n">
        <v>122919.30920049</v>
      </c>
      <c r="AR72" t="n">
        <v>180133.146756377</v>
      </c>
      <c r="AS72" t="n">
        <v>1030521.46447309</v>
      </c>
      <c r="AT72" t="n">
        <v>211551.581717835</v>
      </c>
      <c r="AU72" t="n">
        <v>91241.2111869253</v>
      </c>
      <c r="AV72" t="n">
        <v>68229.6762335116</v>
      </c>
      <c r="AW72" t="n">
        <v>0</v>
      </c>
      <c r="AX72" t="n">
        <v>0</v>
      </c>
      <c r="AY72" t="n">
        <v>229970.560188167</v>
      </c>
      <c r="AZ72" t="n">
        <v>249513.327337895</v>
      </c>
      <c r="BA72" t="n">
        <v>567920.525158735</v>
      </c>
      <c r="BB72" t="n">
        <v>1207748.43569</v>
      </c>
      <c r="BC72" t="n">
        <v>2086242.80556727</v>
      </c>
      <c r="BD72" t="n">
        <v>2320209.33733058</v>
      </c>
      <c r="BE72" t="n">
        <v>254711.983839376</v>
      </c>
      <c r="BF72" t="n">
        <v>118391.412812506</v>
      </c>
      <c r="BG72" t="n">
        <v>1311274.99066048</v>
      </c>
      <c r="BH72" t="n">
        <v>28088.0475987813</v>
      </c>
      <c r="BI72" t="n">
        <v>118572.200858412</v>
      </c>
      <c r="BJ72" t="n">
        <v>163980.334081857</v>
      </c>
      <c r="BK72" t="n">
        <v>239004.493722996</v>
      </c>
      <c r="BL72" t="n">
        <v>864890.691200996</v>
      </c>
      <c r="BM72" t="n">
        <v>2025495.62848277</v>
      </c>
      <c r="BN72" t="n">
        <v>3842634.68388827</v>
      </c>
      <c r="BO72" t="n">
        <v>179876.267108182</v>
      </c>
      <c r="BP72" t="n">
        <v>23596.8906368932</v>
      </c>
      <c r="BQ72" t="n">
        <v>6723.36707431539</v>
      </c>
      <c r="BR72" t="n">
        <v>3079.42108402843</v>
      </c>
      <c r="BS72" t="n">
        <v>3787536.62400389</v>
      </c>
      <c r="BT72" t="n">
        <v>340725.211947597</v>
      </c>
      <c r="BU72" t="n">
        <v>1012382850.06015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223242.049783096</v>
      </c>
      <c r="CB72" t="n">
        <v>-371045.857967359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168</v>
      </c>
      <c r="B73" t="n">
        <v>3777.90982494807</v>
      </c>
      <c r="C73" t="n">
        <v>0</v>
      </c>
      <c r="D73" t="n">
        <v>0.933219987611675</v>
      </c>
      <c r="E73" t="n">
        <v>70637.0819968366</v>
      </c>
      <c r="F73" t="n">
        <v>144688.495235706</v>
      </c>
      <c r="G73" t="n">
        <v>15102803.5733682</v>
      </c>
      <c r="H73" t="n">
        <v>4452308.71504635</v>
      </c>
      <c r="I73" t="n">
        <v>1561339.31886694</v>
      </c>
      <c r="J73" t="n">
        <v>2583824.94201461</v>
      </c>
      <c r="K73" t="n">
        <v>1793565.89141416</v>
      </c>
      <c r="L73" t="n">
        <v>4867338.33676147</v>
      </c>
      <c r="M73" t="n">
        <v>3831695.6876775</v>
      </c>
      <c r="N73" t="n">
        <v>132240.404913503</v>
      </c>
      <c r="O73" t="n">
        <v>747828.865656663</v>
      </c>
      <c r="P73" t="n">
        <v>5997566.05007773</v>
      </c>
      <c r="Q73" t="n">
        <v>576641.646648935</v>
      </c>
      <c r="R73" t="n">
        <v>956052.005784112</v>
      </c>
      <c r="S73" t="n">
        <v>1206445.42559775</v>
      </c>
      <c r="T73" t="n">
        <v>2294806.44840274</v>
      </c>
      <c r="U73" t="n">
        <v>1189039.12738595</v>
      </c>
      <c r="V73" t="n">
        <v>23788.3961419467</v>
      </c>
      <c r="W73" t="n">
        <v>4196181.13273256</v>
      </c>
      <c r="X73" t="n">
        <v>1649556.10900692</v>
      </c>
      <c r="Y73" t="n">
        <v>148828.446797779</v>
      </c>
      <c r="Z73" t="n">
        <v>1996986.14857146</v>
      </c>
      <c r="AA73" t="n">
        <v>10752852.9004846</v>
      </c>
      <c r="AB73" t="n">
        <v>32971161.0786259</v>
      </c>
      <c r="AC73" t="n">
        <v>438712.943801963</v>
      </c>
      <c r="AD73" t="n">
        <v>728220.961149293</v>
      </c>
      <c r="AE73" t="n">
        <v>776804.964234721</v>
      </c>
      <c r="AF73" t="n">
        <v>2417894.76914259</v>
      </c>
      <c r="AG73" t="n">
        <v>0</v>
      </c>
      <c r="AH73" t="n">
        <v>88570.392175127</v>
      </c>
      <c r="AI73" t="n">
        <v>0</v>
      </c>
      <c r="AJ73" t="n">
        <v>0</v>
      </c>
      <c r="AK73" t="n">
        <v>0</v>
      </c>
      <c r="AL73" t="n">
        <v>6195.89163444663</v>
      </c>
      <c r="AM73" t="n">
        <v>3536034.68996612</v>
      </c>
      <c r="AN73" t="n">
        <v>211173.036793191</v>
      </c>
      <c r="AO73" t="n">
        <v>1568397.9477333</v>
      </c>
      <c r="AP73" t="n">
        <v>798395.724215163</v>
      </c>
      <c r="AQ73" t="n">
        <v>5553636.91301241</v>
      </c>
      <c r="AR73" t="n">
        <v>7998342.33217533</v>
      </c>
      <c r="AS73" t="n">
        <v>45509914.7092489</v>
      </c>
      <c r="AT73" t="n">
        <v>9447163.84304255</v>
      </c>
      <c r="AU73" t="n">
        <v>3963986.90503049</v>
      </c>
      <c r="AV73" t="n">
        <v>3097884.15762541</v>
      </c>
      <c r="AW73" t="n">
        <v>64747.1176250941</v>
      </c>
      <c r="AX73" t="n">
        <v>87268779.8787181</v>
      </c>
      <c r="AY73" t="n">
        <v>11188783.9837297</v>
      </c>
      <c r="AZ73" t="n">
        <v>8649974.8885927</v>
      </c>
      <c r="BA73" t="n">
        <v>25610781.0458775</v>
      </c>
      <c r="BB73" t="n">
        <v>51325258.0254777</v>
      </c>
      <c r="BC73" t="n">
        <v>5714632.63551817</v>
      </c>
      <c r="BD73" t="n">
        <v>67465141.4808531</v>
      </c>
      <c r="BE73" t="n">
        <v>13109474.2507443</v>
      </c>
      <c r="BF73" t="n">
        <v>4226614.81895153</v>
      </c>
      <c r="BG73" t="n">
        <v>38188563.5383587</v>
      </c>
      <c r="BH73" t="n">
        <v>1343757.66296547</v>
      </c>
      <c r="BI73" t="n">
        <v>3035085.47757606</v>
      </c>
      <c r="BJ73" t="n">
        <v>2586668.10112603</v>
      </c>
      <c r="BK73" t="n">
        <v>516113.185818339</v>
      </c>
      <c r="BL73" t="n">
        <v>2132922.79049561</v>
      </c>
      <c r="BM73" t="n">
        <v>7811108.45226916</v>
      </c>
      <c r="BN73" t="n">
        <v>29420573.7998307</v>
      </c>
      <c r="BO73" t="n">
        <v>6685817.81705253</v>
      </c>
      <c r="BP73" t="n">
        <v>28204755.8145087</v>
      </c>
      <c r="BQ73" t="n">
        <v>8429139.70266269</v>
      </c>
      <c r="BR73" t="n">
        <v>387186.396830896</v>
      </c>
      <c r="BS73" t="n">
        <v>46488794.1030017</v>
      </c>
      <c r="BT73" t="n">
        <v>1404480.35956101</v>
      </c>
      <c r="BU73" t="n">
        <v>2039102122.31879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169</v>
      </c>
      <c r="B74" t="n">
        <v>1841456.4132633</v>
      </c>
      <c r="C74" t="n">
        <v>49767.9452006375</v>
      </c>
      <c r="D74" t="n">
        <v>15.0468187634995</v>
      </c>
      <c r="E74" t="n">
        <v>321233.985936751</v>
      </c>
      <c r="F74" t="n">
        <v>350559.81922817</v>
      </c>
      <c r="G74" t="n">
        <v>36506983.7996543</v>
      </c>
      <c r="H74" t="n">
        <v>6704387.49201172</v>
      </c>
      <c r="I74" t="n">
        <v>2736340.43037343</v>
      </c>
      <c r="J74" t="n">
        <v>4010188.47594088</v>
      </c>
      <c r="K74" t="n">
        <v>3295572.49250315</v>
      </c>
      <c r="L74" t="n">
        <v>7080231.01287028</v>
      </c>
      <c r="M74" t="n">
        <v>6159696.83708012</v>
      </c>
      <c r="N74" t="n">
        <v>172214.92038133</v>
      </c>
      <c r="O74" t="n">
        <v>1743722.53283536</v>
      </c>
      <c r="P74" t="n">
        <v>8506363.94547565</v>
      </c>
      <c r="Q74" t="n">
        <v>957435.913338423</v>
      </c>
      <c r="R74" t="n">
        <v>1355160.61020714</v>
      </c>
      <c r="S74" t="n">
        <v>1698527.38459814</v>
      </c>
      <c r="T74" t="n">
        <v>4296874.48449148</v>
      </c>
      <c r="U74" t="n">
        <v>3036215.37277306</v>
      </c>
      <c r="V74" t="n">
        <v>88512.3196707975</v>
      </c>
      <c r="W74" t="n">
        <v>7718405.19138658</v>
      </c>
      <c r="X74" t="n">
        <v>1846013.20113143</v>
      </c>
      <c r="Y74" t="n">
        <v>397720.344604177</v>
      </c>
      <c r="Z74" t="n">
        <v>2938174.30821251</v>
      </c>
      <c r="AA74" t="n">
        <v>16165422.5777343</v>
      </c>
      <c r="AB74" t="n">
        <v>98219335.0976882</v>
      </c>
      <c r="AC74" t="n">
        <v>11735427.6713062</v>
      </c>
      <c r="AD74" t="n">
        <v>12130814.0455155</v>
      </c>
      <c r="AE74" t="n">
        <v>19170693.941279</v>
      </c>
      <c r="AF74" t="n">
        <v>40617624.6666633</v>
      </c>
      <c r="AG74" t="n">
        <v>16072573.2831895</v>
      </c>
      <c r="AH74" t="n">
        <v>20597.1506517126</v>
      </c>
      <c r="AI74" t="n">
        <v>77498.5501643147</v>
      </c>
      <c r="AJ74" t="n">
        <v>12865526.062497</v>
      </c>
      <c r="AK74" t="n">
        <v>431664.090106007</v>
      </c>
      <c r="AL74" t="n">
        <v>40196.3555989617</v>
      </c>
      <c r="AM74" t="n">
        <v>16759442.5503253</v>
      </c>
      <c r="AN74" t="n">
        <v>4749341.69278997</v>
      </c>
      <c r="AO74" t="n">
        <v>1693735.70323547</v>
      </c>
      <c r="AP74" t="n">
        <v>1331589.58721552</v>
      </c>
      <c r="AQ74" t="n">
        <v>6298225.76754145</v>
      </c>
      <c r="AR74" t="n">
        <v>8576631.53031085</v>
      </c>
      <c r="AS74" t="n">
        <v>80402005.7047193</v>
      </c>
      <c r="AT74" t="n">
        <v>11584890.5135648</v>
      </c>
      <c r="AU74" t="n">
        <v>27839152.5458626</v>
      </c>
      <c r="AV74" t="n">
        <v>8934871.7948718</v>
      </c>
      <c r="AW74" t="n">
        <v>64243.2838688616</v>
      </c>
      <c r="AX74" t="n">
        <v>301466542.224667</v>
      </c>
      <c r="AY74" t="n">
        <v>32358263.9866854</v>
      </c>
      <c r="AZ74" t="n">
        <v>19277323.0946333</v>
      </c>
      <c r="BA74" t="n">
        <v>41259734.9485139</v>
      </c>
      <c r="BB74" t="n">
        <v>155256581.854755</v>
      </c>
      <c r="BC74" t="n">
        <v>34451440.645788</v>
      </c>
      <c r="BD74" t="n">
        <v>160023174.478528</v>
      </c>
      <c r="BE74" t="n">
        <v>14677044.0131067</v>
      </c>
      <c r="BF74" t="n">
        <v>10929861.3654779</v>
      </c>
      <c r="BG74" t="n">
        <v>303309009.776003</v>
      </c>
      <c r="BH74" t="n">
        <v>118270308.130719</v>
      </c>
      <c r="BI74" t="n">
        <v>92771845.051952</v>
      </c>
      <c r="BJ74" t="n">
        <v>28756485.8683222</v>
      </c>
      <c r="BK74" t="n">
        <v>2438771.89361536</v>
      </c>
      <c r="BL74" t="n">
        <v>14322396.9277589</v>
      </c>
      <c r="BM74" t="n">
        <v>149551691.205526</v>
      </c>
      <c r="BN74" t="n">
        <v>91202704.3016675</v>
      </c>
      <c r="BO74" t="n">
        <v>22066640.7178611</v>
      </c>
      <c r="BP74" t="n">
        <v>12501852.4370608</v>
      </c>
      <c r="BQ74" t="n">
        <v>3316787.89044992</v>
      </c>
      <c r="BR74" t="n">
        <v>2798186.65686548</v>
      </c>
      <c r="BS74" t="n">
        <v>197115296.55333</v>
      </c>
      <c r="BT74" t="n">
        <v>5819439.11958036</v>
      </c>
      <c r="BU74" t="n">
        <v>12158923338.0462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39872869.0071774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170</v>
      </c>
      <c r="B75" t="n">
        <v>1930571.54538001</v>
      </c>
      <c r="C75" t="n">
        <v>326440.950640791</v>
      </c>
      <c r="D75" t="n">
        <v>105.92188490904</v>
      </c>
      <c r="E75" t="n">
        <v>1392441.62269653</v>
      </c>
      <c r="F75" t="n">
        <v>455156.184873264</v>
      </c>
      <c r="G75" t="n">
        <v>19662267.9826522</v>
      </c>
      <c r="H75" t="n">
        <v>92877962.4738643</v>
      </c>
      <c r="I75" t="n">
        <v>8099777.9268728</v>
      </c>
      <c r="J75" t="n">
        <v>18684556.4797063</v>
      </c>
      <c r="K75" t="n">
        <v>20111370.3647737</v>
      </c>
      <c r="L75" t="n">
        <v>32934242.6867255</v>
      </c>
      <c r="M75" t="n">
        <v>21801994.7680041</v>
      </c>
      <c r="N75" t="n">
        <v>2462414.22218452</v>
      </c>
      <c r="O75" t="n">
        <v>6561483.79599638</v>
      </c>
      <c r="P75" t="n">
        <v>33444421.1898487</v>
      </c>
      <c r="Q75" t="n">
        <v>5772846.38900196</v>
      </c>
      <c r="R75" t="n">
        <v>2484090.05749942</v>
      </c>
      <c r="S75" t="n">
        <v>4784575.18654885</v>
      </c>
      <c r="T75" t="n">
        <v>17919980.7261594</v>
      </c>
      <c r="U75" t="n">
        <v>11464486.039523</v>
      </c>
      <c r="V75" t="n">
        <v>129016.760399005</v>
      </c>
      <c r="W75" t="n">
        <v>54945066.2455526</v>
      </c>
      <c r="X75" t="n">
        <v>4376078.20733975</v>
      </c>
      <c r="Y75" t="n">
        <v>2457579.93647612</v>
      </c>
      <c r="Z75" t="n">
        <v>28303724.5996536</v>
      </c>
      <c r="AA75" t="n">
        <v>44595045.1434117</v>
      </c>
      <c r="AB75" t="n">
        <v>237475670.891343</v>
      </c>
      <c r="AC75" t="n">
        <v>32493092.7836522</v>
      </c>
      <c r="AD75" t="n">
        <v>36593140.7817207</v>
      </c>
      <c r="AE75" t="n">
        <v>44599687.2084904</v>
      </c>
      <c r="AF75" t="n">
        <v>77860529.8160032</v>
      </c>
      <c r="AG75" t="n">
        <v>1008507.95534622</v>
      </c>
      <c r="AH75" t="n">
        <v>820814.114302148</v>
      </c>
      <c r="AI75" t="n">
        <v>1787588.98421021</v>
      </c>
      <c r="AJ75" t="n">
        <v>95271811.4784307</v>
      </c>
      <c r="AK75" t="n">
        <v>5879186.35628113</v>
      </c>
      <c r="AL75" t="n">
        <v>456122.22074481</v>
      </c>
      <c r="AM75" t="n">
        <v>28227962.6289855</v>
      </c>
      <c r="AN75" t="n">
        <v>15702752.5951574</v>
      </c>
      <c r="AO75" t="n">
        <v>4840780.27784157</v>
      </c>
      <c r="AP75" t="n">
        <v>902334.012932001</v>
      </c>
      <c r="AQ75" t="n">
        <v>39769095.2920944</v>
      </c>
      <c r="AR75" t="n">
        <v>7932804.08582701</v>
      </c>
      <c r="AS75" t="n">
        <v>37187144.7750203</v>
      </c>
      <c r="AT75" t="n">
        <v>14046076.3098689</v>
      </c>
      <c r="AU75" t="n">
        <v>55804308.1429078</v>
      </c>
      <c r="AV75" t="n">
        <v>1664309.56930583</v>
      </c>
      <c r="AW75" t="n">
        <v>306942488.436947</v>
      </c>
      <c r="AX75" t="n">
        <v>49229989.4280136</v>
      </c>
      <c r="AY75" t="n">
        <v>76711800.4121641</v>
      </c>
      <c r="AZ75" t="n">
        <v>9407358.49108688</v>
      </c>
      <c r="BA75" t="n">
        <v>15904990.2963174</v>
      </c>
      <c r="BB75" t="n">
        <v>80034777.9534099</v>
      </c>
      <c r="BC75" t="n">
        <v>54171023.9807503</v>
      </c>
      <c r="BD75" t="n">
        <v>216185409.872886</v>
      </c>
      <c r="BE75" t="n">
        <v>127122070.904846</v>
      </c>
      <c r="BF75" t="n">
        <v>18348621.3344878</v>
      </c>
      <c r="BG75" t="n">
        <v>70277327.081246</v>
      </c>
      <c r="BH75" t="n">
        <v>72040812.9111523</v>
      </c>
      <c r="BI75" t="n">
        <v>18591855.7652203</v>
      </c>
      <c r="BJ75" t="n">
        <v>6524820.60231275</v>
      </c>
      <c r="BK75" t="n">
        <v>3768261.050124</v>
      </c>
      <c r="BL75" t="n">
        <v>15952510.8910489</v>
      </c>
      <c r="BM75" t="n">
        <v>35895315.8213239</v>
      </c>
      <c r="BN75" t="n">
        <v>137848157.597806</v>
      </c>
      <c r="BO75" t="n">
        <v>82353782.7023227</v>
      </c>
      <c r="BP75" t="n">
        <v>52559800.0711196</v>
      </c>
      <c r="BQ75" t="n">
        <v>97651963.8003222</v>
      </c>
      <c r="BR75" t="n">
        <v>6420050.67470038</v>
      </c>
      <c r="BS75" t="n">
        <v>420492123.579906</v>
      </c>
      <c r="BT75" t="n">
        <v>32747834.1332866</v>
      </c>
      <c r="BU75" t="n">
        <v>8343846296.76244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992886.413845281</v>
      </c>
      <c r="CB75" t="n">
        <v>-60436887.9876746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13365642016.5167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2615275857.27992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173</v>
      </c>
      <c r="B78" t="n">
        <v>9597.80172831351</v>
      </c>
      <c r="C78" t="n">
        <v>2123.7889334406</v>
      </c>
      <c r="D78" t="n">
        <v>0</v>
      </c>
      <c r="E78" t="n">
        <v>4984.83096537221</v>
      </c>
      <c r="F78" t="n">
        <v>0</v>
      </c>
      <c r="G78" t="n">
        <v>824439.808500043</v>
      </c>
      <c r="H78" t="n">
        <v>18994.317386011</v>
      </c>
      <c r="I78" t="n">
        <v>0</v>
      </c>
      <c r="J78" t="n">
        <v>0</v>
      </c>
      <c r="K78" t="n">
        <v>95631.6007278324</v>
      </c>
      <c r="L78" t="n">
        <v>388012.124694522</v>
      </c>
      <c r="M78" t="n">
        <v>949973.178757201</v>
      </c>
      <c r="N78" t="n">
        <v>45494.2464697805</v>
      </c>
      <c r="O78" t="n">
        <v>936369.227383818</v>
      </c>
      <c r="P78" t="n">
        <v>0</v>
      </c>
      <c r="Q78" t="n">
        <v>0</v>
      </c>
      <c r="R78" t="n">
        <v>0</v>
      </c>
      <c r="S78" t="n">
        <v>31064.0024102656</v>
      </c>
      <c r="T78" t="n">
        <v>0</v>
      </c>
      <c r="U78" t="n">
        <v>29615.3016668134</v>
      </c>
      <c r="V78" t="n">
        <v>0</v>
      </c>
      <c r="W78" t="n">
        <v>0</v>
      </c>
      <c r="X78" t="n">
        <v>96338.0878478665</v>
      </c>
      <c r="Y78" t="n">
        <v>17540.6997803112</v>
      </c>
      <c r="Z78" t="n">
        <v>126419.381309214</v>
      </c>
      <c r="AA78" t="n">
        <v>0</v>
      </c>
      <c r="AB78" t="n">
        <v>40000664.5756029</v>
      </c>
      <c r="AC78" t="n">
        <v>2022198.28581727</v>
      </c>
      <c r="AD78" t="n">
        <v>1610066.18536367</v>
      </c>
      <c r="AE78" t="n">
        <v>1090307.35530119</v>
      </c>
      <c r="AF78" t="n">
        <v>8632424.31298803</v>
      </c>
      <c r="AG78" t="n">
        <v>1014.23777065529</v>
      </c>
      <c r="AH78" t="n">
        <v>0</v>
      </c>
      <c r="AI78" t="n">
        <v>1958842.98091445</v>
      </c>
      <c r="AJ78" t="n">
        <v>7610100.78921461</v>
      </c>
      <c r="AK78" t="n">
        <v>164409.396862259</v>
      </c>
      <c r="AL78" t="n">
        <v>14717.3907427414</v>
      </c>
      <c r="AM78" t="n">
        <v>1774956.61651455</v>
      </c>
      <c r="AN78" t="n">
        <v>1864936.0756058</v>
      </c>
      <c r="AO78" t="n">
        <v>274165.293985951</v>
      </c>
      <c r="AP78" t="n">
        <v>176182.612946489</v>
      </c>
      <c r="AQ78" t="n">
        <v>271211.528851994</v>
      </c>
      <c r="AR78" t="n">
        <v>887466.122306114</v>
      </c>
      <c r="AS78" t="n">
        <v>2040570.69906289</v>
      </c>
      <c r="AT78" t="n">
        <v>1731979.13173116</v>
      </c>
      <c r="AU78" t="n">
        <v>131079.630665056</v>
      </c>
      <c r="AV78" t="n">
        <v>0</v>
      </c>
      <c r="AW78" t="n">
        <v>0</v>
      </c>
      <c r="AX78" t="n">
        <v>776137.870660118</v>
      </c>
      <c r="AY78" t="n">
        <v>2440591.27599883</v>
      </c>
      <c r="AZ78" t="n">
        <v>457992.037511296</v>
      </c>
      <c r="BA78" t="n">
        <v>508996.065008023</v>
      </c>
      <c r="BB78" t="n">
        <v>3487454.68473567</v>
      </c>
      <c r="BC78" t="n">
        <v>296262.60930332</v>
      </c>
      <c r="BD78" t="n">
        <v>2784801.50102605</v>
      </c>
      <c r="BE78" t="n">
        <v>646621.416608396</v>
      </c>
      <c r="BF78" t="n">
        <v>638984.357709327</v>
      </c>
      <c r="BG78" t="n">
        <v>2360969.27524656</v>
      </c>
      <c r="BH78" t="n">
        <v>3411051.85395739</v>
      </c>
      <c r="BI78" t="n">
        <v>566909.567120961</v>
      </c>
      <c r="BJ78" t="n">
        <v>709797.073871567</v>
      </c>
      <c r="BK78" t="n">
        <v>120698.898586147</v>
      </c>
      <c r="BL78" t="n">
        <v>144639.849841267</v>
      </c>
      <c r="BM78" t="n">
        <v>2310380.16852667</v>
      </c>
      <c r="BN78" t="n">
        <v>15249446.7404581</v>
      </c>
      <c r="BO78" t="n">
        <v>1136461.79474014</v>
      </c>
      <c r="BP78" t="n">
        <v>2013.21490879218</v>
      </c>
      <c r="BQ78" t="n">
        <v>172085.166298965</v>
      </c>
      <c r="BR78" t="n">
        <v>129261.603736219</v>
      </c>
      <c r="BS78" t="n">
        <v>6159698.1809265</v>
      </c>
      <c r="BT78" t="n">
        <v>171095.585591255</v>
      </c>
      <c r="BU78" t="n">
        <v>14924667.4236209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7834576.75454794</v>
      </c>
      <c r="CB78" t="n">
        <v>-2879648.2240723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26077742965.9857</v>
      </c>
      <c r="CL79" t="n">
        <v>0</v>
      </c>
      <c r="CM79" t="n">
        <v>0</v>
      </c>
      <c r="CN79" t="n">
        <v>0</v>
      </c>
    </row>
    <row r="80">
      <c r="A80" t="s">
        <v>175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10535457.9066355</v>
      </c>
      <c r="H80" t="n">
        <v>0</v>
      </c>
      <c r="I80" t="n">
        <v>1410267.76026938</v>
      </c>
      <c r="J80" t="n">
        <v>3047042.77211229</v>
      </c>
      <c r="K80" t="n">
        <v>3130793.86787799</v>
      </c>
      <c r="L80" t="n">
        <v>4956161.7090092</v>
      </c>
      <c r="M80" t="n">
        <v>4691159.84280937</v>
      </c>
      <c r="N80" t="n">
        <v>258322.380571995</v>
      </c>
      <c r="O80" t="n">
        <v>1632421.09456927</v>
      </c>
      <c r="P80" t="n">
        <v>5481088.06528557</v>
      </c>
      <c r="Q80" t="n">
        <v>1822588.84707796</v>
      </c>
      <c r="R80" t="n">
        <v>723778.962269722</v>
      </c>
      <c r="S80" t="n">
        <v>940256.230759685</v>
      </c>
      <c r="T80" t="n">
        <v>8026088.48662812</v>
      </c>
      <c r="U80" t="n">
        <v>4684446.57513557</v>
      </c>
      <c r="V80" t="n">
        <v>29504.1065569325</v>
      </c>
      <c r="W80" t="n">
        <v>9923663.81749703</v>
      </c>
      <c r="X80" t="n">
        <v>611418.385088117</v>
      </c>
      <c r="Y80" t="n">
        <v>770702.103180342</v>
      </c>
      <c r="Z80" t="n">
        <v>16220664.775917</v>
      </c>
      <c r="AA80" t="n">
        <v>8756270.5629394</v>
      </c>
      <c r="AB80" t="n">
        <v>17530734.6899119</v>
      </c>
      <c r="AC80" t="n">
        <v>6838313.11673859</v>
      </c>
      <c r="AD80" t="n">
        <v>4609397.89149243</v>
      </c>
      <c r="AE80" t="n">
        <v>3067311.03060464</v>
      </c>
      <c r="AF80" t="n">
        <v>9343906.24458303</v>
      </c>
      <c r="AG80" t="n">
        <v>15844.8042224912</v>
      </c>
      <c r="AH80" t="n">
        <v>0</v>
      </c>
      <c r="AI80" t="n">
        <v>0</v>
      </c>
      <c r="AJ80" t="n">
        <v>5559507.11716192</v>
      </c>
      <c r="AK80" t="n">
        <v>18271.4958775029</v>
      </c>
      <c r="AL80" t="n">
        <v>72116.9909275489</v>
      </c>
      <c r="AM80" t="n">
        <v>1107600.00833258</v>
      </c>
      <c r="AN80" t="n">
        <v>2898495.29780564</v>
      </c>
      <c r="AO80" t="n">
        <v>216137.966770188</v>
      </c>
      <c r="AP80" t="n">
        <v>200302.670958267</v>
      </c>
      <c r="AQ80" t="n">
        <v>800443.408583864</v>
      </c>
      <c r="AR80" t="n">
        <v>354290.300434109</v>
      </c>
      <c r="AS80" t="n">
        <v>3423366.64914625</v>
      </c>
      <c r="AT80" t="n">
        <v>730251.227466581</v>
      </c>
      <c r="AU80" t="n">
        <v>653169.717309395</v>
      </c>
      <c r="AV80" t="n">
        <v>0</v>
      </c>
      <c r="AW80" t="n">
        <v>0</v>
      </c>
      <c r="AX80" t="n">
        <v>23669877.675228</v>
      </c>
      <c r="AY80" t="n">
        <v>12479180.7252799</v>
      </c>
      <c r="AZ80" t="n">
        <v>4358676.64342509</v>
      </c>
      <c r="BA80" t="n">
        <v>1459841.64622302</v>
      </c>
      <c r="BB80" t="n">
        <v>10336201.5980332</v>
      </c>
      <c r="BC80" t="n">
        <v>3829587.11185408</v>
      </c>
      <c r="BD80" t="n">
        <v>19028896.196319</v>
      </c>
      <c r="BE80" t="n">
        <v>25916713.4060435</v>
      </c>
      <c r="BF80" t="n">
        <v>877173.58729313</v>
      </c>
      <c r="BG80" t="n">
        <v>9317556.59908941</v>
      </c>
      <c r="BH80" t="n">
        <v>5559432.50306683</v>
      </c>
      <c r="BI80" t="n">
        <v>6670352.06294764</v>
      </c>
      <c r="BJ80" t="n">
        <v>1865580.92359636</v>
      </c>
      <c r="BK80" t="n">
        <v>522915.969795529</v>
      </c>
      <c r="BL80" t="n">
        <v>2707408.36585341</v>
      </c>
      <c r="BM80" t="n">
        <v>13800535.7665207</v>
      </c>
      <c r="BN80" t="n">
        <v>21792171.0711532</v>
      </c>
      <c r="BO80" t="n">
        <v>16998463.998125</v>
      </c>
      <c r="BP80" t="n">
        <v>16393938.5731269</v>
      </c>
      <c r="BQ80" t="n">
        <v>8639778.79062486</v>
      </c>
      <c r="BR80" t="n">
        <v>2234855.34970774</v>
      </c>
      <c r="BS80" t="n">
        <v>110365607.961582</v>
      </c>
      <c r="BT80" t="n">
        <v>19268377.0180085</v>
      </c>
      <c r="BU80" t="n">
        <v>548448369.884649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176</v>
      </c>
      <c r="B81" t="n">
        <v>-84341.5151112963</v>
      </c>
      <c r="C81" t="n">
        <v>1542806.30121976</v>
      </c>
      <c r="D81" t="n">
        <v>0</v>
      </c>
      <c r="E81" t="n">
        <v>0</v>
      </c>
      <c r="F81" t="n">
        <v>790150.703657146</v>
      </c>
      <c r="G81" t="n">
        <v>83054241.9090357</v>
      </c>
      <c r="H81" t="n">
        <v>39363934.8597369</v>
      </c>
      <c r="I81" t="n">
        <v>0</v>
      </c>
      <c r="J81" t="n">
        <v>1348403.98536003</v>
      </c>
      <c r="K81" t="n">
        <v>419872413.407363</v>
      </c>
      <c r="L81" t="n">
        <v>10657610.8930574</v>
      </c>
      <c r="M81" t="n">
        <v>142774.429998546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950366.512810864</v>
      </c>
      <c r="T81" t="n">
        <v>7884.17336603941</v>
      </c>
      <c r="U81" t="n">
        <v>1734980.21301317</v>
      </c>
      <c r="V81" t="n">
        <v>0</v>
      </c>
      <c r="W81" t="n">
        <v>77051736.3962992</v>
      </c>
      <c r="X81" t="n">
        <v>0</v>
      </c>
      <c r="Y81" t="n">
        <v>0</v>
      </c>
      <c r="Z81" t="n">
        <v>437083.781386985</v>
      </c>
      <c r="AA81" t="n">
        <v>2155389.67703124</v>
      </c>
      <c r="AB81" t="n">
        <v>0</v>
      </c>
      <c r="AC81" t="n">
        <v>588241.988536653</v>
      </c>
      <c r="AD81" t="n">
        <v>0</v>
      </c>
      <c r="AE81" t="n">
        <v>0</v>
      </c>
      <c r="AF81" t="n">
        <v>2605178.3209804</v>
      </c>
      <c r="AG81" t="n">
        <v>-495150.131952849</v>
      </c>
      <c r="AH81" t="n">
        <v>0</v>
      </c>
      <c r="AI81" t="n">
        <v>-746433.404214189</v>
      </c>
      <c r="AJ81" t="n">
        <v>4306284.88931247</v>
      </c>
      <c r="AK81" t="n">
        <v>9135.74793875147</v>
      </c>
      <c r="AL81" t="n">
        <v>138322.753090545</v>
      </c>
      <c r="AM81" t="n">
        <v>18090800.1360988</v>
      </c>
      <c r="AN81" t="n">
        <v>0</v>
      </c>
      <c r="AO81" t="n">
        <v>0</v>
      </c>
      <c r="AP81" t="n">
        <v>355466.711841431</v>
      </c>
      <c r="AQ81" t="n">
        <v>10532.1501129456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102517.541432471</v>
      </c>
      <c r="AZ81" t="n">
        <v>0</v>
      </c>
      <c r="BA81" t="n">
        <v>0</v>
      </c>
      <c r="BB81" t="n">
        <v>0</v>
      </c>
      <c r="BC81" t="n">
        <v>1751516.58604179</v>
      </c>
      <c r="BD81" t="n">
        <v>0</v>
      </c>
      <c r="BE81" t="n">
        <v>0</v>
      </c>
      <c r="BF81" t="n">
        <v>1914466.16274294</v>
      </c>
      <c r="BG81" t="n">
        <v>0</v>
      </c>
      <c r="BH81" t="n">
        <v>0</v>
      </c>
      <c r="BI81" t="n">
        <v>0</v>
      </c>
      <c r="BJ81" t="n">
        <v>0</v>
      </c>
      <c r="BK81" t="n">
        <v>-622089.688205026</v>
      </c>
      <c r="BL81" t="n">
        <v>5466484.8302918</v>
      </c>
      <c r="BM81" t="n">
        <v>0</v>
      </c>
      <c r="BN81" t="n">
        <v>0</v>
      </c>
      <c r="BO81" t="n">
        <v>341386864.045</v>
      </c>
      <c r="BP81" t="n">
        <v>-884565.030924112</v>
      </c>
      <c r="BQ81" t="n">
        <v>0</v>
      </c>
      <c r="BR81" t="n">
        <v>0</v>
      </c>
      <c r="BS81" t="n">
        <v>0</v>
      </c>
      <c r="BT81" t="n">
        <v>0</v>
      </c>
      <c r="BU81" t="n">
        <v>1231237088.76728</v>
      </c>
      <c r="BV81" t="n">
        <v>-67550122.4974175</v>
      </c>
      <c r="BW81" t="n">
        <v>-2892670207.58802</v>
      </c>
      <c r="BX81" t="n">
        <v>0</v>
      </c>
      <c r="BY81" t="n">
        <v>-14262888.7742778</v>
      </c>
      <c r="BZ81" t="n">
        <v>57711640.5712792</v>
      </c>
      <c r="CA81" t="n">
        <v>563812094.92631</v>
      </c>
      <c r="CB81" t="n">
        <v>-339431695.853377</v>
      </c>
      <c r="CC81" t="n">
        <v>0</v>
      </c>
      <c r="CD81" t="n">
        <v>-89440.7447830751</v>
      </c>
      <c r="CE81" t="n">
        <v>0</v>
      </c>
      <c r="CF81" t="n">
        <v>0</v>
      </c>
      <c r="CG81" t="n">
        <v>0</v>
      </c>
      <c r="CH81" t="n">
        <v>-12365182.9662601</v>
      </c>
      <c r="CI81" t="n">
        <v>737886.14446037</v>
      </c>
      <c r="CJ81" t="n">
        <v>0</v>
      </c>
      <c r="CK81" t="n">
        <v>0</v>
      </c>
      <c r="CL81" t="n">
        <v>60855794.4809976</v>
      </c>
      <c r="CM81" t="n">
        <v>-252752422.447883</v>
      </c>
      <c r="CN81" t="n">
        <v>0</v>
      </c>
    </row>
    <row r="82">
      <c r="A82" t="s">
        <v>177</v>
      </c>
      <c r="B82" t="n">
        <v>4371701.86660219</v>
      </c>
      <c r="C82" t="n">
        <v>223955.753402869</v>
      </c>
      <c r="D82" t="n">
        <v>915.541049379085</v>
      </c>
      <c r="E82" t="n">
        <v>194687.264204091</v>
      </c>
      <c r="F82" t="n">
        <v>310217.617809055</v>
      </c>
      <c r="G82" t="n">
        <v>26569161.2685978</v>
      </c>
      <c r="H82" t="n">
        <v>21100738.2269332</v>
      </c>
      <c r="I82" t="n">
        <v>4251852.05334949</v>
      </c>
      <c r="J82" t="n">
        <v>5183475.06060481</v>
      </c>
      <c r="K82" t="n">
        <v>10315141.9015348</v>
      </c>
      <c r="L82" t="n">
        <v>13489703.2982055</v>
      </c>
      <c r="M82" t="n">
        <v>27759428.4611459</v>
      </c>
      <c r="N82" t="n">
        <v>10402601.2620818</v>
      </c>
      <c r="O82" t="n">
        <v>12539962.0446458</v>
      </c>
      <c r="P82" t="n">
        <v>79902874.7179617</v>
      </c>
      <c r="Q82" t="n">
        <v>5410089.67898458</v>
      </c>
      <c r="R82" t="n">
        <v>1801747.62947995</v>
      </c>
      <c r="S82" t="n">
        <v>4458634.38457012</v>
      </c>
      <c r="T82" t="n">
        <v>17439791.4856792</v>
      </c>
      <c r="U82" t="n">
        <v>8414654.0331139</v>
      </c>
      <c r="V82" t="n">
        <v>221280.799176994</v>
      </c>
      <c r="W82" t="n">
        <v>25360474.2002702</v>
      </c>
      <c r="X82" t="n">
        <v>2880721.2374344</v>
      </c>
      <c r="Y82" t="n">
        <v>12605261.0653496</v>
      </c>
      <c r="Z82" t="n">
        <v>28883953.21999</v>
      </c>
      <c r="AA82" t="n">
        <v>29816223.8655988</v>
      </c>
      <c r="AB82" t="n">
        <v>85174579.6550265</v>
      </c>
      <c r="AC82" t="n">
        <v>1661783.61761604</v>
      </c>
      <c r="AD82" t="n">
        <v>6727229.35515111</v>
      </c>
      <c r="AE82" t="n">
        <v>16319667.6628324</v>
      </c>
      <c r="AF82" t="n">
        <v>39482924.7757474</v>
      </c>
      <c r="AG82" t="n">
        <v>33434517.5099842</v>
      </c>
      <c r="AH82" t="n">
        <v>892543.194907548</v>
      </c>
      <c r="AI82" t="n">
        <v>7623410.0135318</v>
      </c>
      <c r="AJ82" t="n">
        <v>13238826.3005798</v>
      </c>
      <c r="AK82" t="n">
        <v>47962.6766784452</v>
      </c>
      <c r="AL82" t="n">
        <v>125909.172684983</v>
      </c>
      <c r="AM82" t="n">
        <v>5414933.3740704</v>
      </c>
      <c r="AN82" t="n">
        <v>1536551.72413793</v>
      </c>
      <c r="AO82" t="n">
        <v>2735127.72494638</v>
      </c>
      <c r="AP82" t="n">
        <v>1455720.81992205</v>
      </c>
      <c r="AQ82" t="n">
        <v>64614740.9429211</v>
      </c>
      <c r="AR82" t="n">
        <v>2893955.42433802</v>
      </c>
      <c r="AS82" t="n">
        <v>25069094.1224636</v>
      </c>
      <c r="AT82" t="n">
        <v>127965788.624879</v>
      </c>
      <c r="AU82" t="n">
        <v>12798595.8121435</v>
      </c>
      <c r="AV82" t="n">
        <v>1508091.16809117</v>
      </c>
      <c r="AW82" t="n">
        <v>369398.882245954</v>
      </c>
      <c r="AX82" t="n">
        <v>7643864.08856607</v>
      </c>
      <c r="AY82" t="n">
        <v>14361775.5770398</v>
      </c>
      <c r="AZ82" t="n">
        <v>1982917.27125777</v>
      </c>
      <c r="BA82" t="n">
        <v>12869656.6180188</v>
      </c>
      <c r="BB82" t="n">
        <v>28445910.183017</v>
      </c>
      <c r="BC82" t="n">
        <v>14019554.3687836</v>
      </c>
      <c r="BD82" t="n">
        <v>19480012.2699387</v>
      </c>
      <c r="BE82" t="n">
        <v>3055444.10681776</v>
      </c>
      <c r="BF82" t="n">
        <v>3014413.99442798</v>
      </c>
      <c r="BG82" t="n">
        <v>0</v>
      </c>
      <c r="BH82" t="n">
        <v>0</v>
      </c>
      <c r="BI82" t="n">
        <v>3825643.09492586</v>
      </c>
      <c r="BJ82" t="n">
        <v>0</v>
      </c>
      <c r="BK82" t="n">
        <v>1564240.01309525</v>
      </c>
      <c r="BL82" t="n">
        <v>2407733.39406047</v>
      </c>
      <c r="BM82" t="n">
        <v>11804448.2990439</v>
      </c>
      <c r="BN82" t="n">
        <v>28492029.491087</v>
      </c>
      <c r="BO82" t="n">
        <v>51572461.6208796</v>
      </c>
      <c r="BP82" t="n">
        <v>103989465.035439</v>
      </c>
      <c r="BQ82" t="n">
        <v>18993399.3483515</v>
      </c>
      <c r="BR82" t="n">
        <v>36939.757846409</v>
      </c>
      <c r="BS82" t="n">
        <v>0</v>
      </c>
      <c r="BT82" t="n">
        <v>0</v>
      </c>
      <c r="BU82" t="n">
        <v>-1112595786.69033</v>
      </c>
      <c r="BV82" t="n">
        <v>0</v>
      </c>
      <c r="BW82" t="n">
        <v>0</v>
      </c>
      <c r="BX82" t="n">
        <v>97040205.7635872</v>
      </c>
      <c r="BY82" t="n">
        <v>0</v>
      </c>
      <c r="BZ82" t="n">
        <v>0</v>
      </c>
      <c r="CA82" t="n">
        <v>2088955792.67037</v>
      </c>
      <c r="CB82" t="n">
        <v>-3174901942.28613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257</v>
      </c>
    </row>
    <row r="2">
      <c r="A2" t="s">
        <v>258</v>
      </c>
    </row>
    <row r="3">
      <c r="A3" t="s">
        <v>259</v>
      </c>
    </row>
    <row r="4">
      <c r="A4" t="s">
        <v>52</v>
      </c>
    </row>
    <row r="5">
      <c r="A5" t="s">
        <v>1</v>
      </c>
    </row>
    <row r="6">
      <c r="A6" t="s">
        <v>260</v>
      </c>
    </row>
    <row r="7">
      <c r="A7" t="s">
        <v>1</v>
      </c>
    </row>
    <row r="9">
      <c r="A9" t="s">
        <v>261</v>
      </c>
      <c r="B9" t="s">
        <v>262</v>
      </c>
      <c r="C9" t="s">
        <v>263</v>
      </c>
      <c r="D9" t="s">
        <v>264</v>
      </c>
      <c r="E9" t="s">
        <v>265</v>
      </c>
    </row>
    <row r="10">
      <c r="A10" t="s">
        <v>266</v>
      </c>
      <c r="B10" t="n">
        <v>12031000</v>
      </c>
      <c r="C10" t="s">
        <v>267</v>
      </c>
      <c r="D10" t="n">
        <v>600000000</v>
      </c>
      <c r="E10" t="s">
        <v>268</v>
      </c>
    </row>
    <row r="11">
      <c r="A11" t="s">
        <v>269</v>
      </c>
      <c r="B11" t="n">
        <v>1000000</v>
      </c>
      <c r="C11" t="s">
        <v>267</v>
      </c>
      <c r="D11" t="n">
        <v>40000000</v>
      </c>
      <c r="E11" t="s">
        <v>270</v>
      </c>
    </row>
    <row r="12">
      <c r="A12" t="s">
        <v>271</v>
      </c>
      <c r="B12" t="n">
        <v>4220000</v>
      </c>
      <c r="C12" t="s">
        <v>267</v>
      </c>
      <c r="D12" t="n">
        <v>125000000</v>
      </c>
      <c r="E12" t="s">
        <v>272</v>
      </c>
    </row>
    <row r="13">
      <c r="A13" t="s">
        <v>273</v>
      </c>
      <c r="B13" t="n">
        <v>0</v>
      </c>
      <c r="C13" t="s">
        <v>267</v>
      </c>
      <c r="D13" t="n">
        <v>0</v>
      </c>
      <c r="E13"/>
    </row>
    <row r="14">
      <c r="A14" t="s">
        <v>274</v>
      </c>
      <c r="B14" t="n">
        <v>0</v>
      </c>
      <c r="C14" t="s">
        <v>267</v>
      </c>
      <c r="D14" t="n">
        <v>0</v>
      </c>
      <c r="E14"/>
    </row>
    <row r="15">
      <c r="A15" t="s">
        <v>275</v>
      </c>
      <c r="B15" t="n">
        <v>10710000</v>
      </c>
      <c r="C15" t="s">
        <v>267</v>
      </c>
      <c r="D15" t="n">
        <v>330000000</v>
      </c>
      <c r="E15" t="s">
        <v>276</v>
      </c>
    </row>
    <row r="16">
      <c r="A16" t="s">
        <v>277</v>
      </c>
      <c r="B16" t="n">
        <v>0</v>
      </c>
      <c r="C16" t="s">
        <v>267</v>
      </c>
      <c r="D16" t="n">
        <v>0</v>
      </c>
      <c r="E16"/>
    </row>
    <row r="17">
      <c r="A17" t="s">
        <v>278</v>
      </c>
      <c r="B17" t="n">
        <v>0</v>
      </c>
      <c r="C17" t="s">
        <v>267</v>
      </c>
      <c r="D17" t="n">
        <v>0</v>
      </c>
      <c r="E17"/>
    </row>
    <row r="18">
      <c r="A18" t="s">
        <v>279</v>
      </c>
      <c r="B18" t="n">
        <v>0</v>
      </c>
      <c r="C18" t="s">
        <v>267</v>
      </c>
      <c r="D18" t="n">
        <v>0</v>
      </c>
      <c r="E18"/>
    </row>
    <row r="19">
      <c r="A19" t="s">
        <v>280</v>
      </c>
      <c r="B19" t="n">
        <v>0</v>
      </c>
      <c r="C19" t="s">
        <v>267</v>
      </c>
      <c r="D19" t="n">
        <v>0</v>
      </c>
      <c r="E19"/>
    </row>
    <row r="20">
      <c r="A20" t="s">
        <v>281</v>
      </c>
      <c r="B20" t="n">
        <v>0</v>
      </c>
      <c r="C20" t="s">
        <v>267</v>
      </c>
      <c r="D20" t="n">
        <v>0</v>
      </c>
      <c r="E20"/>
    </row>
    <row r="21">
      <c r="A21" t="s">
        <v>282</v>
      </c>
      <c r="B21" t="n">
        <v>0</v>
      </c>
      <c r="C21" t="s">
        <v>267</v>
      </c>
      <c r="D21" t="n">
        <v>0</v>
      </c>
      <c r="E21"/>
    </row>
    <row r="22">
      <c r="A22" t="s">
        <v>283</v>
      </c>
      <c r="B22" t="n">
        <v>0</v>
      </c>
      <c r="C22" t="s">
        <v>267</v>
      </c>
      <c r="D22" t="n">
        <v>0</v>
      </c>
      <c r="E22"/>
    </row>
    <row r="23">
      <c r="A23" t="s">
        <v>284</v>
      </c>
      <c r="B23" t="n">
        <v>45919000</v>
      </c>
      <c r="C23" t="s">
        <v>267</v>
      </c>
      <c r="D23" t="n">
        <v>1950000000</v>
      </c>
      <c r="E23" t="s">
        <v>285</v>
      </c>
    </row>
    <row r="24">
      <c r="A24" t="s">
        <v>286</v>
      </c>
      <c r="B24" t="n">
        <v>28820000</v>
      </c>
      <c r="C24" t="s">
        <v>267</v>
      </c>
      <c r="D24" t="n">
        <v>1210000000</v>
      </c>
      <c r="E24" t="s">
        <v>285</v>
      </c>
    </row>
    <row r="25">
      <c r="A25" t="s">
        <v>287</v>
      </c>
      <c r="B25" t="n">
        <v>0</v>
      </c>
      <c r="C25" t="s">
        <v>267</v>
      </c>
      <c r="D25" t="n">
        <v>0</v>
      </c>
      <c r="E25"/>
    </row>
    <row r="26">
      <c r="A26" t="s">
        <v>288</v>
      </c>
      <c r="B26" t="n">
        <v>0</v>
      </c>
      <c r="C26" t="s">
        <v>267</v>
      </c>
      <c r="D26" t="n">
        <v>0</v>
      </c>
      <c r="E26"/>
    </row>
    <row r="27">
      <c r="A27" t="s">
        <v>289</v>
      </c>
      <c r="B27" t="n">
        <v>36140000</v>
      </c>
      <c r="C27" t="s">
        <v>267</v>
      </c>
      <c r="D27" t="n">
        <v>1730000000</v>
      </c>
      <c r="E27" t="s">
        <v>290</v>
      </c>
    </row>
    <row r="28">
      <c r="A28" t="s">
        <v>291</v>
      </c>
      <c r="B28" t="n">
        <v>2720000</v>
      </c>
      <c r="C28" t="s">
        <v>267</v>
      </c>
      <c r="D28" t="n">
        <v>60000000</v>
      </c>
      <c r="E28" t="s">
        <v>292</v>
      </c>
    </row>
    <row r="29">
      <c r="A29" t="s">
        <v>293</v>
      </c>
      <c r="B29" t="n">
        <v>0</v>
      </c>
      <c r="C29" t="s">
        <v>267</v>
      </c>
      <c r="D29" t="n">
        <v>0</v>
      </c>
      <c r="E29"/>
    </row>
    <row r="30">
      <c r="A30" t="s">
        <v>294</v>
      </c>
      <c r="B30" t="n">
        <v>1320000</v>
      </c>
      <c r="C30" t="s">
        <v>267</v>
      </c>
      <c r="D30" t="n">
        <v>70000000</v>
      </c>
      <c r="E30" t="s">
        <v>295</v>
      </c>
    </row>
    <row r="31">
      <c r="A31" t="s">
        <v>296</v>
      </c>
      <c r="B31" t="n">
        <v>0</v>
      </c>
      <c r="C31" t="s">
        <v>267</v>
      </c>
      <c r="D31" t="n">
        <v>0</v>
      </c>
      <c r="E31"/>
    </row>
    <row r="32">
      <c r="A32" t="s">
        <v>297</v>
      </c>
      <c r="B32" t="n">
        <v>0</v>
      </c>
      <c r="C32" t="s">
        <v>267</v>
      </c>
      <c r="D32" t="n">
        <v>0</v>
      </c>
      <c r="E32"/>
    </row>
    <row r="33">
      <c r="A33" t="s">
        <v>298</v>
      </c>
      <c r="B33" t="n">
        <v>0</v>
      </c>
      <c r="C33" t="s">
        <v>267</v>
      </c>
      <c r="D33" t="n">
        <v>0</v>
      </c>
      <c r="E33"/>
    </row>
    <row r="34">
      <c r="A34" t="s">
        <v>299</v>
      </c>
      <c r="B34" t="n">
        <v>2800000</v>
      </c>
      <c r="C34" t="s">
        <v>267</v>
      </c>
      <c r="D34" t="n">
        <v>65000000</v>
      </c>
      <c r="E34" t="s">
        <v>300</v>
      </c>
    </row>
    <row r="35">
      <c r="A35" t="s">
        <v>301</v>
      </c>
      <c r="B35" t="n">
        <v>264000</v>
      </c>
      <c r="C35" t="s">
        <v>267</v>
      </c>
      <c r="D35" t="n">
        <v>12000000</v>
      </c>
      <c r="E35"/>
    </row>
    <row r="36">
      <c r="A36" t="s">
        <v>302</v>
      </c>
      <c r="B36" t="n">
        <v>38660000</v>
      </c>
      <c r="C36" t="s">
        <v>267</v>
      </c>
      <c r="D36" t="n">
        <v>590000000</v>
      </c>
      <c r="E36" t="s">
        <v>303</v>
      </c>
    </row>
    <row r="37">
      <c r="A37" t="s">
        <v>304</v>
      </c>
      <c r="B37" t="n">
        <v>0</v>
      </c>
      <c r="C37" t="s">
        <v>267</v>
      </c>
      <c r="D37" t="n">
        <v>0</v>
      </c>
      <c r="E37"/>
    </row>
    <row r="38">
      <c r="A38" t="s">
        <v>305</v>
      </c>
      <c r="B38" t="n">
        <v>0</v>
      </c>
      <c r="C38" t="s">
        <v>267</v>
      </c>
      <c r="D38" t="n">
        <v>0</v>
      </c>
      <c r="E38"/>
    </row>
    <row r="39">
      <c r="A39" t="s">
        <v>306</v>
      </c>
      <c r="B39" t="n">
        <v>0</v>
      </c>
      <c r="C39" t="s">
        <v>267</v>
      </c>
      <c r="D39" t="n">
        <v>0</v>
      </c>
      <c r="E39"/>
    </row>
    <row r="40">
      <c r="A40" t="s">
        <v>307</v>
      </c>
      <c r="B40" t="n">
        <v>0</v>
      </c>
      <c r="C40" t="s">
        <v>267</v>
      </c>
      <c r="D40" t="n">
        <v>0</v>
      </c>
      <c r="E40"/>
    </row>
    <row r="41">
      <c r="A41" t="s">
        <v>308</v>
      </c>
      <c r="B41" t="n">
        <v>10720000</v>
      </c>
      <c r="C41" t="s">
        <v>267</v>
      </c>
      <c r="D41" t="n">
        <v>260000000</v>
      </c>
      <c r="E41" t="s">
        <v>309</v>
      </c>
    </row>
    <row r="42">
      <c r="A42" t="s">
        <v>310</v>
      </c>
      <c r="B42" t="n">
        <v>0</v>
      </c>
      <c r="C42" t="s">
        <v>267</v>
      </c>
      <c r="D42" t="n">
        <v>0</v>
      </c>
      <c r="E42"/>
    </row>
    <row r="43">
      <c r="A43" t="s">
        <v>311</v>
      </c>
      <c r="B43" t="n">
        <v>0</v>
      </c>
      <c r="C43" t="s">
        <v>267</v>
      </c>
      <c r="D43" t="n">
        <v>0</v>
      </c>
      <c r="E43"/>
    </row>
    <row r="44">
      <c r="A44" t="s">
        <v>312</v>
      </c>
      <c r="B44" t="n">
        <v>27870000</v>
      </c>
      <c r="C44" t="s">
        <v>267</v>
      </c>
      <c r="D44" t="n">
        <v>560000000</v>
      </c>
      <c r="E44" t="s">
        <v>313</v>
      </c>
    </row>
    <row r="45">
      <c r="A45" t="s">
        <v>314</v>
      </c>
      <c r="B45" t="n">
        <v>8220000</v>
      </c>
      <c r="C45" t="s">
        <v>267</v>
      </c>
      <c r="D45" t="n">
        <v>430000000</v>
      </c>
      <c r="E45" t="s">
        <v>315</v>
      </c>
    </row>
    <row r="46">
      <c r="A46" t="s">
        <v>316</v>
      </c>
      <c r="B46" t="n">
        <v>930000</v>
      </c>
      <c r="C46" t="s">
        <v>267</v>
      </c>
      <c r="D46" t="n">
        <v>40000000</v>
      </c>
      <c r="E46"/>
    </row>
    <row r="47">
      <c r="A47" t="s">
        <v>317</v>
      </c>
      <c r="B47" t="n">
        <v>0</v>
      </c>
      <c r="C47" t="s">
        <v>267</v>
      </c>
      <c r="D47" t="n">
        <v>0</v>
      </c>
      <c r="E47"/>
    </row>
    <row r="48">
      <c r="A48" t="s">
        <v>318</v>
      </c>
      <c r="B48" t="n">
        <v>50110000</v>
      </c>
      <c r="C48" t="s">
        <v>267</v>
      </c>
      <c r="D48" t="n">
        <v>3000000000</v>
      </c>
      <c r="E48" t="s">
        <v>319</v>
      </c>
    </row>
    <row r="49">
      <c r="A49" t="s">
        <v>320</v>
      </c>
      <c r="B49" t="n">
        <v>0</v>
      </c>
      <c r="C49" t="s">
        <v>267</v>
      </c>
      <c r="D49" t="n">
        <v>0</v>
      </c>
      <c r="E49"/>
    </row>
    <row r="50">
      <c r="A50" t="s">
        <v>321</v>
      </c>
      <c r="B50" t="n">
        <v>0</v>
      </c>
      <c r="C50" t="s">
        <v>267</v>
      </c>
      <c r="D50" t="n">
        <v>0</v>
      </c>
      <c r="E50"/>
    </row>
    <row r="51">
      <c r="A51" t="s">
        <v>322</v>
      </c>
      <c r="B51" t="n">
        <v>0</v>
      </c>
      <c r="C51" t="s">
        <v>267</v>
      </c>
      <c r="D51" t="n">
        <v>0</v>
      </c>
      <c r="E51"/>
    </row>
    <row r="52">
      <c r="A52" t="s">
        <v>323</v>
      </c>
      <c r="B52" t="n">
        <v>400000</v>
      </c>
      <c r="C52" t="s">
        <v>267</v>
      </c>
      <c r="D52" t="n">
        <v>22000000</v>
      </c>
      <c r="E52" t="s">
        <v>324</v>
      </c>
    </row>
    <row r="53">
      <c r="A53" t="s">
        <v>325</v>
      </c>
      <c r="B53" t="n">
        <v>22820000</v>
      </c>
      <c r="C53" t="s">
        <v>267</v>
      </c>
      <c r="D53" t="n">
        <v>500000000</v>
      </c>
      <c r="E53" t="s">
        <v>292</v>
      </c>
    </row>
    <row r="54">
      <c r="A54" t="s">
        <v>326</v>
      </c>
      <c r="B54" t="n">
        <v>12810000</v>
      </c>
      <c r="C54" t="s">
        <v>267</v>
      </c>
      <c r="D54" t="n">
        <v>380000000</v>
      </c>
      <c r="E54" t="s">
        <v>327</v>
      </c>
    </row>
    <row r="55">
      <c r="A55" t="s">
        <v>328</v>
      </c>
      <c r="B55" t="n">
        <v>0</v>
      </c>
      <c r="C55" t="s">
        <v>267</v>
      </c>
      <c r="D55" t="n">
        <v>0</v>
      </c>
      <c r="E55"/>
    </row>
    <row r="56">
      <c r="A56" t="s">
        <v>329</v>
      </c>
      <c r="B56" t="n">
        <v>11480000</v>
      </c>
      <c r="C56" t="s">
        <v>267</v>
      </c>
      <c r="D56" t="n">
        <v>620000000</v>
      </c>
      <c r="E56" t="s">
        <v>330</v>
      </c>
    </row>
    <row r="57">
      <c r="A57" t="s">
        <v>331</v>
      </c>
      <c r="B57" t="n">
        <v>3050000</v>
      </c>
      <c r="C57" t="s">
        <v>267</v>
      </c>
      <c r="D57" t="n">
        <v>90000000</v>
      </c>
      <c r="E57" t="s">
        <v>332</v>
      </c>
    </row>
    <row r="58">
      <c r="A58" t="s">
        <v>333</v>
      </c>
      <c r="B58" t="n">
        <v>93320000</v>
      </c>
      <c r="C58" t="s">
        <v>267</v>
      </c>
      <c r="D58" t="n">
        <v>5050000000</v>
      </c>
      <c r="E58" t="s">
        <v>334</v>
      </c>
    </row>
    <row r="59">
      <c r="A59" t="s">
        <v>335</v>
      </c>
      <c r="B59" t="n">
        <v>0</v>
      </c>
      <c r="C59" t="s">
        <v>267</v>
      </c>
      <c r="D59" t="n">
        <v>0</v>
      </c>
      <c r="E59"/>
    </row>
    <row r="60">
      <c r="A60" t="s">
        <v>336</v>
      </c>
      <c r="B60" t="n">
        <v>276040000</v>
      </c>
      <c r="C60" t="s">
        <v>267</v>
      </c>
      <c r="D60" t="n">
        <v>3690000000</v>
      </c>
      <c r="E6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338</v>
      </c>
    </row>
    <row r="2">
      <c r="A2" t="s">
        <v>339</v>
      </c>
    </row>
    <row r="3">
      <c r="A3" t="s">
        <v>340</v>
      </c>
    </row>
    <row r="4">
      <c r="A4" t="s">
        <v>1</v>
      </c>
    </row>
    <row r="5">
      <c r="A5" t="s">
        <v>341</v>
      </c>
    </row>
    <row r="6">
      <c r="A6" t="s">
        <v>342</v>
      </c>
    </row>
    <row r="7">
      <c r="A7" t="s">
        <v>343</v>
      </c>
    </row>
    <row r="8">
      <c r="A8" t="s">
        <v>344</v>
      </c>
    </row>
    <row r="9">
      <c r="A9" t="s">
        <v>345</v>
      </c>
    </row>
    <row r="10">
      <c r="A10" t="s">
        <v>346</v>
      </c>
    </row>
    <row r="11">
      <c r="A11" t="s">
        <v>347</v>
      </c>
    </row>
    <row r="12">
      <c r="A12" t="s">
        <v>348</v>
      </c>
    </row>
    <row r="13">
      <c r="A13" t="s">
        <v>1</v>
      </c>
    </row>
    <row r="14">
      <c r="A14" t="s">
        <v>349</v>
      </c>
    </row>
    <row r="15">
      <c r="A15" t="s">
        <v>1</v>
      </c>
    </row>
    <row r="17">
      <c r="A17" t="s">
        <v>350</v>
      </c>
    </row>
    <row r="18">
      <c r="A18" t="s">
        <v>351</v>
      </c>
    </row>
    <row r="20">
      <c r="A20" t="s">
        <v>352</v>
      </c>
    </row>
    <row r="21">
      <c r="A21" t="s">
        <v>353</v>
      </c>
    </row>
    <row r="23">
      <c r="A23" t="s">
        <v>354</v>
      </c>
    </row>
    <row r="25">
      <c r="A25" t="s">
        <v>261</v>
      </c>
      <c r="B25" t="s">
        <v>355</v>
      </c>
      <c r="C25" t="s">
        <v>356</v>
      </c>
      <c r="D25" t="s">
        <v>357</v>
      </c>
      <c r="E25" t="s">
        <v>358</v>
      </c>
    </row>
    <row r="26">
      <c r="A26" t="s">
        <v>269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266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273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271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274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275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277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279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278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280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281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282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287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283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284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286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288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289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291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296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294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293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297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298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301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299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302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311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312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304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306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307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308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305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310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314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316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317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318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320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321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322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323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325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326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329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328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331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335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333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336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5.71" hidden="0" customWidth="1"/>
  </cols>
  <sheetData>
    <row r="1">
      <c r="A1" t="s">
        <v>359</v>
      </c>
    </row>
    <row r="2">
      <c r="A2" t="s">
        <v>1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1</v>
      </c>
    </row>
    <row r="8">
      <c r="A8" t="s">
        <v>363</v>
      </c>
      <c r="B8" t="s">
        <v>364</v>
      </c>
      <c r="C8" t="s">
        <v>188</v>
      </c>
      <c r="D8" t="s">
        <v>365</v>
      </c>
      <c r="E8" t="s">
        <v>366</v>
      </c>
      <c r="F8" t="s">
        <v>367</v>
      </c>
      <c r="G8" t="s">
        <v>368</v>
      </c>
    </row>
    <row r="9">
      <c r="A9" t="s">
        <v>105</v>
      </c>
      <c r="B9" t="s">
        <v>369</v>
      </c>
      <c r="C9" t="s">
        <v>190</v>
      </c>
      <c r="D9" t="s">
        <v>370</v>
      </c>
      <c r="E9" t="n">
        <v>1</v>
      </c>
      <c r="F9"/>
      <c r="G9"/>
    </row>
    <row r="10">
      <c r="A10" t="s">
        <v>106</v>
      </c>
      <c r="B10" t="s">
        <v>371</v>
      </c>
      <c r="C10" t="s">
        <v>190</v>
      </c>
      <c r="D10" t="s">
        <v>370</v>
      </c>
      <c r="E10" t="n">
        <v>1</v>
      </c>
      <c r="F10"/>
      <c r="G10"/>
    </row>
    <row r="11">
      <c r="A11" t="s">
        <v>107</v>
      </c>
      <c r="B11" t="s">
        <v>372</v>
      </c>
      <c r="C11" t="s">
        <v>192</v>
      </c>
      <c r="D11" t="s">
        <v>373</v>
      </c>
      <c r="E11" t="n">
        <v>1</v>
      </c>
      <c r="F11"/>
      <c r="G11"/>
    </row>
    <row r="12">
      <c r="A12" t="s">
        <v>109</v>
      </c>
      <c r="B12" t="s">
        <v>374</v>
      </c>
      <c r="C12" t="s">
        <v>194</v>
      </c>
      <c r="D12" t="s">
        <v>375</v>
      </c>
      <c r="E12" t="n">
        <v>1</v>
      </c>
      <c r="F12"/>
      <c r="G12"/>
    </row>
    <row r="13">
      <c r="A13" t="s">
        <v>110</v>
      </c>
      <c r="B13" t="s">
        <v>376</v>
      </c>
      <c r="C13" t="s">
        <v>213</v>
      </c>
      <c r="D13" t="s">
        <v>377</v>
      </c>
      <c r="E13" t="n">
        <v>0.72</v>
      </c>
      <c r="F13" t="s">
        <v>378</v>
      </c>
      <c r="G13"/>
    </row>
    <row r="14">
      <c r="A14" t="s">
        <v>110</v>
      </c>
      <c r="B14" t="s">
        <v>376</v>
      </c>
      <c r="C14" t="s">
        <v>214</v>
      </c>
      <c r="D14" t="s">
        <v>379</v>
      </c>
      <c r="E14" t="n">
        <v>0.2</v>
      </c>
      <c r="F14" t="s">
        <v>380</v>
      </c>
      <c r="G14"/>
    </row>
    <row r="15">
      <c r="A15" t="s">
        <v>110</v>
      </c>
      <c r="B15" t="s">
        <v>376</v>
      </c>
      <c r="C15" t="s">
        <v>215</v>
      </c>
      <c r="D15" t="s">
        <v>381</v>
      </c>
      <c r="E15" t="n">
        <v>0.08</v>
      </c>
      <c r="F15" t="s">
        <v>382</v>
      </c>
      <c r="G15"/>
    </row>
    <row r="16">
      <c r="A16" t="s">
        <v>111</v>
      </c>
      <c r="B16" t="s">
        <v>383</v>
      </c>
      <c r="C16" t="s">
        <v>216</v>
      </c>
      <c r="D16" t="s">
        <v>383</v>
      </c>
      <c r="E16" t="n">
        <v>1</v>
      </c>
      <c r="F16"/>
      <c r="G16"/>
    </row>
    <row r="17">
      <c r="A17" t="s">
        <v>123</v>
      </c>
      <c r="B17" t="s">
        <v>384</v>
      </c>
      <c r="C17" t="s">
        <v>195</v>
      </c>
      <c r="D17" t="s">
        <v>385</v>
      </c>
      <c r="E17" t="n">
        <v>1</v>
      </c>
      <c r="F17"/>
      <c r="G17"/>
    </row>
    <row r="18">
      <c r="A18" t="s">
        <v>124</v>
      </c>
      <c r="B18" t="s">
        <v>386</v>
      </c>
      <c r="C18" t="s">
        <v>196</v>
      </c>
      <c r="D18" t="s">
        <v>387</v>
      </c>
      <c r="E18" t="n">
        <v>1</v>
      </c>
      <c r="F18"/>
      <c r="G18"/>
    </row>
    <row r="19">
      <c r="A19" t="s">
        <v>125</v>
      </c>
      <c r="B19" t="s">
        <v>388</v>
      </c>
      <c r="C19" t="s">
        <v>196</v>
      </c>
      <c r="D19" t="s">
        <v>387</v>
      </c>
      <c r="E19" t="n">
        <v>1</v>
      </c>
      <c r="F19"/>
      <c r="G19"/>
    </row>
    <row r="20">
      <c r="A20" t="s">
        <v>112</v>
      </c>
      <c r="B20" t="s">
        <v>389</v>
      </c>
      <c r="C20" t="s">
        <v>197</v>
      </c>
      <c r="D20" t="s">
        <v>390</v>
      </c>
      <c r="E20" t="n">
        <v>1</v>
      </c>
      <c r="F20"/>
      <c r="G20"/>
    </row>
    <row r="21">
      <c r="A21" t="s">
        <v>126</v>
      </c>
      <c r="B21" t="s">
        <v>391</v>
      </c>
      <c r="C21" t="s">
        <v>198</v>
      </c>
      <c r="D21" t="s">
        <v>392</v>
      </c>
      <c r="E21" t="n">
        <v>1</v>
      </c>
      <c r="F21"/>
      <c r="G21"/>
    </row>
    <row r="22">
      <c r="A22" t="s">
        <v>127</v>
      </c>
      <c r="B22" t="s">
        <v>393</v>
      </c>
      <c r="C22" t="s">
        <v>198</v>
      </c>
      <c r="D22" t="s">
        <v>392</v>
      </c>
      <c r="E22" t="n">
        <v>1</v>
      </c>
      <c r="F22"/>
      <c r="G22"/>
    </row>
    <row r="23">
      <c r="A23" t="s">
        <v>128</v>
      </c>
      <c r="B23" t="s">
        <v>394</v>
      </c>
      <c r="C23" t="s">
        <v>199</v>
      </c>
      <c r="D23" t="s">
        <v>395</v>
      </c>
      <c r="E23" t="n">
        <v>0.961</v>
      </c>
      <c r="F23" t="s">
        <v>396</v>
      </c>
      <c r="G23"/>
    </row>
    <row r="24">
      <c r="A24" t="s">
        <v>128</v>
      </c>
      <c r="B24" t="s">
        <v>394</v>
      </c>
      <c r="C24" t="s">
        <v>204</v>
      </c>
      <c r="D24" t="s">
        <v>397</v>
      </c>
      <c r="E24" t="n">
        <v>0.039</v>
      </c>
      <c r="F24" t="s">
        <v>398</v>
      </c>
      <c r="G24"/>
    </row>
    <row r="25">
      <c r="A25" t="s">
        <v>130</v>
      </c>
      <c r="B25" t="s">
        <v>399</v>
      </c>
      <c r="C25" t="s">
        <v>110</v>
      </c>
      <c r="D25" t="s">
        <v>400</v>
      </c>
      <c r="E25" t="n">
        <v>1</v>
      </c>
      <c r="F25"/>
      <c r="G25"/>
    </row>
    <row r="26">
      <c r="A26" t="s">
        <v>115</v>
      </c>
      <c r="B26" t="s">
        <v>401</v>
      </c>
      <c r="C26" t="s">
        <v>206</v>
      </c>
      <c r="D26" t="s">
        <v>401</v>
      </c>
      <c r="E26" t="n">
        <v>1</v>
      </c>
      <c r="F26"/>
      <c r="G26"/>
    </row>
    <row r="27">
      <c r="A27" t="s">
        <v>116</v>
      </c>
      <c r="B27" t="s">
        <v>402</v>
      </c>
      <c r="C27" t="s">
        <v>209</v>
      </c>
      <c r="D27" t="s">
        <v>403</v>
      </c>
      <c r="E27" t="n">
        <v>1</v>
      </c>
      <c r="F27"/>
      <c r="G27"/>
    </row>
    <row r="28">
      <c r="A28" t="s">
        <v>117</v>
      </c>
      <c r="B28" t="s">
        <v>404</v>
      </c>
      <c r="C28" t="s">
        <v>207</v>
      </c>
      <c r="D28" t="s">
        <v>405</v>
      </c>
      <c r="E28" t="n">
        <v>1</v>
      </c>
      <c r="F28"/>
      <c r="G28"/>
    </row>
    <row r="29">
      <c r="A29" t="s">
        <v>118</v>
      </c>
      <c r="B29" t="s">
        <v>406</v>
      </c>
      <c r="C29" t="s">
        <v>208</v>
      </c>
      <c r="D29" t="s">
        <v>407</v>
      </c>
      <c r="E29" t="n">
        <v>1</v>
      </c>
      <c r="F29"/>
      <c r="G29"/>
    </row>
    <row r="30">
      <c r="A30" t="s">
        <v>119</v>
      </c>
      <c r="B30" t="s">
        <v>408</v>
      </c>
      <c r="C30" t="s">
        <v>210</v>
      </c>
      <c r="D30" t="s">
        <v>409</v>
      </c>
      <c r="E30" t="n">
        <v>1</v>
      </c>
      <c r="F30"/>
      <c r="G30"/>
    </row>
    <row r="31">
      <c r="A31" t="s">
        <v>120</v>
      </c>
      <c r="B31" t="s">
        <v>410</v>
      </c>
      <c r="C31" t="s">
        <v>211</v>
      </c>
      <c r="D31" t="s">
        <v>411</v>
      </c>
      <c r="E31" t="n">
        <v>1</v>
      </c>
      <c r="F31"/>
      <c r="G31"/>
    </row>
    <row r="32">
      <c r="A32" t="s">
        <v>121</v>
      </c>
      <c r="B32" t="s">
        <v>412</v>
      </c>
      <c r="C32" t="s">
        <v>212</v>
      </c>
      <c r="D32" t="s">
        <v>413</v>
      </c>
      <c r="E32" t="n">
        <v>1</v>
      </c>
      <c r="F32"/>
      <c r="G32"/>
    </row>
    <row r="33">
      <c r="A33" t="s">
        <v>122</v>
      </c>
      <c r="B33" t="s">
        <v>414</v>
      </c>
      <c r="C33" t="s">
        <v>212</v>
      </c>
      <c r="D33" t="s">
        <v>413</v>
      </c>
      <c r="E33" t="n">
        <v>1</v>
      </c>
      <c r="F33"/>
      <c r="G33"/>
    </row>
    <row r="34">
      <c r="A34" t="s">
        <v>131</v>
      </c>
      <c r="B34" t="s">
        <v>415</v>
      </c>
      <c r="C34" t="s">
        <v>217</v>
      </c>
      <c r="D34" t="s">
        <v>416</v>
      </c>
      <c r="E34" t="n">
        <v>1</v>
      </c>
      <c r="F34"/>
      <c r="G34"/>
    </row>
    <row r="35">
      <c r="A35" t="s">
        <v>132</v>
      </c>
      <c r="B35" t="s">
        <v>417</v>
      </c>
      <c r="C35" t="s">
        <v>217</v>
      </c>
      <c r="D35" t="s">
        <v>416</v>
      </c>
      <c r="E35" t="n">
        <v>1</v>
      </c>
      <c r="F35"/>
      <c r="G35"/>
    </row>
    <row r="36">
      <c r="A36" t="s">
        <v>133</v>
      </c>
      <c r="B36" t="s">
        <v>418</v>
      </c>
      <c r="C36" t="s">
        <v>217</v>
      </c>
      <c r="D36" t="s">
        <v>416</v>
      </c>
      <c r="E36" t="n">
        <v>1</v>
      </c>
      <c r="F36"/>
      <c r="G36"/>
    </row>
    <row r="37">
      <c r="A37" t="s">
        <v>134</v>
      </c>
      <c r="B37" t="s">
        <v>419</v>
      </c>
      <c r="C37" t="s">
        <v>217</v>
      </c>
      <c r="D37" t="s">
        <v>416</v>
      </c>
      <c r="E37" t="n">
        <v>1</v>
      </c>
      <c r="F37"/>
      <c r="G37"/>
    </row>
    <row r="38">
      <c r="A38" t="s">
        <v>135</v>
      </c>
      <c r="B38" t="s">
        <v>420</v>
      </c>
      <c r="C38" t="s">
        <v>217</v>
      </c>
      <c r="D38" t="s">
        <v>416</v>
      </c>
      <c r="E38" t="n">
        <v>1</v>
      </c>
      <c r="F38"/>
      <c r="G38"/>
    </row>
    <row r="39">
      <c r="A39" t="s">
        <v>136</v>
      </c>
      <c r="B39" t="s">
        <v>421</v>
      </c>
      <c r="C39" t="s">
        <v>218</v>
      </c>
      <c r="D39" t="s">
        <v>422</v>
      </c>
      <c r="E39" t="n">
        <v>1</v>
      </c>
      <c r="F39"/>
      <c r="G39"/>
    </row>
    <row r="40">
      <c r="A40" t="s">
        <v>137</v>
      </c>
      <c r="B40" t="s">
        <v>423</v>
      </c>
      <c r="C40" t="s">
        <v>218</v>
      </c>
      <c r="D40" t="s">
        <v>422</v>
      </c>
      <c r="E40" t="n">
        <v>1</v>
      </c>
      <c r="F40"/>
      <c r="G40"/>
    </row>
    <row r="41">
      <c r="A41" t="s">
        <v>138</v>
      </c>
      <c r="B41" t="s">
        <v>424</v>
      </c>
      <c r="C41" t="s">
        <v>218</v>
      </c>
      <c r="D41" t="s">
        <v>422</v>
      </c>
      <c r="E41" t="n">
        <v>1</v>
      </c>
      <c r="F41"/>
      <c r="G41"/>
    </row>
    <row r="42">
      <c r="A42" t="s">
        <v>139</v>
      </c>
      <c r="B42" t="s">
        <v>425</v>
      </c>
      <c r="C42" t="s">
        <v>218</v>
      </c>
      <c r="D42" t="s">
        <v>422</v>
      </c>
      <c r="E42" t="n">
        <v>1</v>
      </c>
      <c r="F42"/>
      <c r="G42"/>
    </row>
    <row r="43">
      <c r="A43" t="s">
        <v>140</v>
      </c>
      <c r="B43" t="s">
        <v>426</v>
      </c>
      <c r="C43" t="s">
        <v>218</v>
      </c>
      <c r="D43" t="s">
        <v>422</v>
      </c>
      <c r="E43" t="n">
        <v>1</v>
      </c>
      <c r="F43"/>
      <c r="G43"/>
    </row>
    <row r="44">
      <c r="A44" t="s">
        <v>141</v>
      </c>
      <c r="B44" t="s">
        <v>427</v>
      </c>
      <c r="C44" t="s">
        <v>214</v>
      </c>
      <c r="D44" t="s">
        <v>428</v>
      </c>
      <c r="E44" t="n">
        <v>1</v>
      </c>
      <c r="F44" t="s">
        <v>429</v>
      </c>
      <c r="G44"/>
    </row>
    <row r="45">
      <c r="A45" t="s">
        <v>142</v>
      </c>
      <c r="B45" t="s">
        <v>430</v>
      </c>
      <c r="C45" t="s">
        <v>218</v>
      </c>
      <c r="D45" t="s">
        <v>422</v>
      </c>
      <c r="E45" t="n">
        <v>1</v>
      </c>
      <c r="F45"/>
      <c r="G45"/>
    </row>
    <row r="46">
      <c r="A46" t="s">
        <v>143</v>
      </c>
      <c r="B46" t="s">
        <v>431</v>
      </c>
      <c r="C46" t="s">
        <v>218</v>
      </c>
      <c r="D46" t="s">
        <v>422</v>
      </c>
      <c r="E46" t="n">
        <v>1</v>
      </c>
      <c r="F46"/>
      <c r="G46"/>
    </row>
    <row r="47">
      <c r="A47" t="s">
        <v>144</v>
      </c>
      <c r="B47" t="s">
        <v>432</v>
      </c>
      <c r="C47" t="s">
        <v>220</v>
      </c>
      <c r="D47" t="s">
        <v>433</v>
      </c>
      <c r="E47" t="n">
        <v>1</v>
      </c>
      <c r="F47"/>
      <c r="G47"/>
    </row>
    <row r="48">
      <c r="A48" t="s">
        <v>145</v>
      </c>
      <c r="B48" t="s">
        <v>434</v>
      </c>
      <c r="C48" t="s">
        <v>220</v>
      </c>
      <c r="D48" t="s">
        <v>433</v>
      </c>
      <c r="E48" t="n">
        <v>1</v>
      </c>
      <c r="F48"/>
      <c r="G48"/>
    </row>
    <row r="49">
      <c r="A49" t="s">
        <v>146</v>
      </c>
      <c r="B49" t="s">
        <v>435</v>
      </c>
      <c r="C49" t="s">
        <v>220</v>
      </c>
      <c r="D49" t="s">
        <v>433</v>
      </c>
      <c r="E49" t="n">
        <v>0.25</v>
      </c>
      <c r="F49" t="s">
        <v>436</v>
      </c>
      <c r="G49"/>
    </row>
    <row r="50">
      <c r="A50" t="s">
        <v>146</v>
      </c>
      <c r="B50" t="s">
        <v>435</v>
      </c>
      <c r="C50" t="s">
        <v>161</v>
      </c>
      <c r="D50" t="s">
        <v>437</v>
      </c>
      <c r="E50" t="n">
        <v>0.75</v>
      </c>
      <c r="F50"/>
      <c r="G50"/>
    </row>
    <row r="51">
      <c r="A51" t="s">
        <v>147</v>
      </c>
      <c r="B51" t="s">
        <v>438</v>
      </c>
      <c r="C51" t="s">
        <v>221</v>
      </c>
      <c r="D51" t="s">
        <v>439</v>
      </c>
      <c r="E51" t="n">
        <v>1</v>
      </c>
      <c r="F51"/>
      <c r="G51"/>
    </row>
    <row r="52">
      <c r="A52" t="s">
        <v>148</v>
      </c>
      <c r="B52" t="s">
        <v>440</v>
      </c>
      <c r="C52" t="s">
        <v>222</v>
      </c>
      <c r="D52" t="s">
        <v>441</v>
      </c>
      <c r="E52" t="n">
        <v>1</v>
      </c>
      <c r="F52"/>
      <c r="G52"/>
    </row>
    <row r="53">
      <c r="A53" t="s">
        <v>149</v>
      </c>
      <c r="B53" t="s">
        <v>442</v>
      </c>
      <c r="C53" t="s">
        <v>222</v>
      </c>
      <c r="D53" t="s">
        <v>441</v>
      </c>
      <c r="E53" t="n">
        <v>1</v>
      </c>
      <c r="F53"/>
      <c r="G53"/>
    </row>
    <row r="54">
      <c r="A54" t="s">
        <v>150</v>
      </c>
      <c r="B54" t="s">
        <v>443</v>
      </c>
      <c r="C54" t="s">
        <v>222</v>
      </c>
      <c r="D54" t="s">
        <v>441</v>
      </c>
      <c r="E54" t="n">
        <v>1</v>
      </c>
      <c r="F54"/>
      <c r="G54"/>
    </row>
    <row r="55">
      <c r="A55" t="s">
        <v>151</v>
      </c>
      <c r="B55" t="s">
        <v>444</v>
      </c>
      <c r="C55" t="s">
        <v>222</v>
      </c>
      <c r="D55" t="s">
        <v>441</v>
      </c>
      <c r="E55" t="n">
        <v>1</v>
      </c>
      <c r="F55"/>
      <c r="G55"/>
    </row>
    <row r="56">
      <c r="A56" t="s">
        <v>152</v>
      </c>
      <c r="B56" t="s">
        <v>445</v>
      </c>
      <c r="C56" t="s">
        <v>223</v>
      </c>
      <c r="D56" t="s">
        <v>446</v>
      </c>
      <c r="E56" t="n">
        <v>1</v>
      </c>
      <c r="F56"/>
      <c r="G56"/>
    </row>
    <row r="57">
      <c r="A57" t="s">
        <v>153</v>
      </c>
      <c r="B57" t="s">
        <v>447</v>
      </c>
      <c r="C57" t="s">
        <v>223</v>
      </c>
      <c r="D57" t="s">
        <v>446</v>
      </c>
      <c r="E57" t="n">
        <v>1</v>
      </c>
      <c r="F57"/>
      <c r="G57"/>
    </row>
    <row r="58">
      <c r="A58" t="s">
        <v>154</v>
      </c>
      <c r="B58" t="s">
        <v>448</v>
      </c>
      <c r="C58" t="s">
        <v>224</v>
      </c>
      <c r="D58" t="s">
        <v>449</v>
      </c>
      <c r="E58" t="n">
        <v>1</v>
      </c>
      <c r="F58" t="s">
        <v>450</v>
      </c>
      <c r="G58"/>
    </row>
    <row r="59">
      <c r="A59" t="s">
        <v>155</v>
      </c>
      <c r="B59" t="s">
        <v>451</v>
      </c>
      <c r="C59" t="s">
        <v>224</v>
      </c>
      <c r="D59" t="s">
        <v>449</v>
      </c>
      <c r="E59" t="n">
        <v>1</v>
      </c>
      <c r="F59"/>
      <c r="G59"/>
    </row>
    <row r="60">
      <c r="A60" t="s">
        <v>157</v>
      </c>
      <c r="B60" t="s">
        <v>452</v>
      </c>
      <c r="C60" t="s">
        <v>224</v>
      </c>
      <c r="D60" t="s">
        <v>449</v>
      </c>
      <c r="E60" t="n">
        <v>1</v>
      </c>
      <c r="F60"/>
      <c r="G60"/>
    </row>
    <row r="61">
      <c r="A61" t="s">
        <v>156</v>
      </c>
      <c r="B61" t="s">
        <v>453</v>
      </c>
      <c r="C61" t="s">
        <v>221</v>
      </c>
      <c r="D61" t="s">
        <v>439</v>
      </c>
      <c r="E61" t="n">
        <v>1</v>
      </c>
      <c r="F61" t="s">
        <v>454</v>
      </c>
      <c r="G61"/>
    </row>
    <row r="62">
      <c r="A62" t="s">
        <v>158</v>
      </c>
      <c r="B62" t="s">
        <v>455</v>
      </c>
      <c r="C62" t="s">
        <v>224</v>
      </c>
      <c r="D62" t="s">
        <v>449</v>
      </c>
      <c r="E62" t="n">
        <v>1</v>
      </c>
      <c r="F62"/>
      <c r="G62"/>
    </row>
    <row r="63">
      <c r="A63" t="s">
        <v>159</v>
      </c>
      <c r="B63" t="s">
        <v>456</v>
      </c>
      <c r="C63" t="s">
        <v>224</v>
      </c>
      <c r="D63" t="s">
        <v>449</v>
      </c>
      <c r="E63" t="n">
        <v>1</v>
      </c>
      <c r="F63"/>
      <c r="G63"/>
    </row>
    <row r="64">
      <c r="A64" t="s">
        <v>160</v>
      </c>
      <c r="B64" t="s">
        <v>457</v>
      </c>
      <c r="C64" t="s">
        <v>215</v>
      </c>
      <c r="D64" t="s">
        <v>458</v>
      </c>
      <c r="E64" t="n">
        <v>1</v>
      </c>
      <c r="F64"/>
      <c r="G64"/>
    </row>
    <row r="65">
      <c r="A65" t="s">
        <v>161</v>
      </c>
      <c r="B65" t="s">
        <v>459</v>
      </c>
      <c r="C65" t="s">
        <v>226</v>
      </c>
      <c r="D65" t="s">
        <v>460</v>
      </c>
      <c r="E65" t="n">
        <v>1</v>
      </c>
      <c r="F65"/>
      <c r="G65"/>
    </row>
    <row r="66">
      <c r="A66" t="s">
        <v>162</v>
      </c>
      <c r="B66" t="s">
        <v>461</v>
      </c>
      <c r="C66" t="s">
        <v>227</v>
      </c>
      <c r="D66" t="s">
        <v>462</v>
      </c>
      <c r="E66" t="n">
        <v>1</v>
      </c>
      <c r="F66"/>
      <c r="G66"/>
    </row>
    <row r="67">
      <c r="A67" t="s">
        <v>163</v>
      </c>
      <c r="B67" t="s">
        <v>463</v>
      </c>
      <c r="C67" t="s">
        <v>227</v>
      </c>
      <c r="D67" t="s">
        <v>462</v>
      </c>
      <c r="E67" t="n">
        <v>1</v>
      </c>
      <c r="F67"/>
      <c r="G67"/>
    </row>
    <row r="68">
      <c r="A68" t="s">
        <v>164</v>
      </c>
      <c r="B68" t="s">
        <v>464</v>
      </c>
      <c r="C68" t="s">
        <v>227</v>
      </c>
      <c r="D68" t="s">
        <v>462</v>
      </c>
      <c r="E68" t="n">
        <v>1</v>
      </c>
      <c r="F68"/>
      <c r="G68"/>
    </row>
    <row r="69">
      <c r="A69" t="s">
        <v>165</v>
      </c>
      <c r="B69" t="s">
        <v>465</v>
      </c>
      <c r="C69" t="s">
        <v>227</v>
      </c>
      <c r="D69" t="s">
        <v>462</v>
      </c>
      <c r="E69" t="n">
        <v>1</v>
      </c>
      <c r="F69"/>
      <c r="G69"/>
    </row>
    <row r="70">
      <c r="A70" t="s">
        <v>166</v>
      </c>
      <c r="B70" t="s">
        <v>466</v>
      </c>
      <c r="C70" t="s">
        <v>228</v>
      </c>
      <c r="D70" t="s">
        <v>467</v>
      </c>
      <c r="E70" t="n">
        <v>1</v>
      </c>
      <c r="F70"/>
      <c r="G70"/>
    </row>
    <row r="71">
      <c r="A71" t="s">
        <v>167</v>
      </c>
      <c r="B71" t="s">
        <v>468</v>
      </c>
      <c r="C71" t="s">
        <v>228</v>
      </c>
      <c r="D71" t="s">
        <v>467</v>
      </c>
      <c r="E71" t="n">
        <v>1</v>
      </c>
      <c r="F71"/>
      <c r="G71"/>
    </row>
    <row r="72">
      <c r="A72" t="s">
        <v>168</v>
      </c>
      <c r="B72" t="s">
        <v>469</v>
      </c>
      <c r="C72" t="s">
        <v>219</v>
      </c>
      <c r="D72" t="s">
        <v>470</v>
      </c>
      <c r="E72" t="n">
        <v>1</v>
      </c>
      <c r="F72"/>
      <c r="G72"/>
    </row>
    <row r="73">
      <c r="A73" t="s">
        <v>169</v>
      </c>
      <c r="B73" t="s">
        <v>471</v>
      </c>
      <c r="C73" t="s">
        <v>219</v>
      </c>
      <c r="D73" t="s">
        <v>470</v>
      </c>
      <c r="E73" t="n">
        <v>1</v>
      </c>
      <c r="F73"/>
      <c r="G73"/>
    </row>
    <row r="74">
      <c r="A74" t="s">
        <v>170</v>
      </c>
      <c r="B74" t="s">
        <v>472</v>
      </c>
      <c r="C74" t="s">
        <v>228</v>
      </c>
      <c r="D74" t="s">
        <v>467</v>
      </c>
      <c r="E74" t="n">
        <v>1</v>
      </c>
      <c r="F74"/>
      <c r="G74"/>
    </row>
    <row r="75">
      <c r="A75" t="s">
        <v>171</v>
      </c>
      <c r="B75" t="s">
        <v>473</v>
      </c>
      <c r="C75" t="s">
        <v>225</v>
      </c>
      <c r="D75" t="s">
        <v>474</v>
      </c>
      <c r="E75" t="n">
        <v>1</v>
      </c>
      <c r="F75"/>
      <c r="G75"/>
    </row>
    <row r="76">
      <c r="A76" t="s">
        <v>172</v>
      </c>
      <c r="B76" t="s">
        <v>475</v>
      </c>
      <c r="C76" t="s">
        <v>225</v>
      </c>
      <c r="D76" t="s">
        <v>474</v>
      </c>
      <c r="E76" t="n">
        <v>1</v>
      </c>
      <c r="F76"/>
      <c r="G76"/>
    </row>
    <row r="77">
      <c r="A77" t="s">
        <v>173</v>
      </c>
      <c r="B77" t="s">
        <v>476</v>
      </c>
      <c r="C77" t="s">
        <v>225</v>
      </c>
      <c r="D77" t="s">
        <v>474</v>
      </c>
      <c r="E77" t="n">
        <v>1</v>
      </c>
      <c r="F77"/>
      <c r="G77"/>
    </row>
    <row r="78">
      <c r="A78" t="s">
        <v>174</v>
      </c>
      <c r="B78" t="s">
        <v>477</v>
      </c>
      <c r="C78" t="s">
        <v>225</v>
      </c>
      <c r="D78" t="s">
        <v>474</v>
      </c>
      <c r="E78" t="n">
        <v>1</v>
      </c>
      <c r="F78"/>
      <c r="G78"/>
    </row>
    <row r="79">
      <c r="A79" t="s">
        <v>175</v>
      </c>
      <c r="B79" t="s">
        <v>478</v>
      </c>
      <c r="C79" t="s">
        <v>225</v>
      </c>
      <c r="D79" t="s">
        <v>474</v>
      </c>
      <c r="E79" t="n">
        <v>1</v>
      </c>
      <c r="F79"/>
      <c r="G79"/>
    </row>
    <row r="80">
      <c r="A80" t="s">
        <v>108</v>
      </c>
      <c r="B80" t="s">
        <v>479</v>
      </c>
      <c r="C80" t="s">
        <v>191</v>
      </c>
      <c r="D80" t="s">
        <v>480</v>
      </c>
      <c r="E80" t="n">
        <v>0</v>
      </c>
      <c r="F80"/>
      <c r="G80" t="s">
        <v>481</v>
      </c>
    </row>
    <row r="81">
      <c r="A81" t="s">
        <v>108</v>
      </c>
      <c r="B81" t="s">
        <v>479</v>
      </c>
      <c r="C81" t="s">
        <v>193</v>
      </c>
      <c r="D81" t="s">
        <v>482</v>
      </c>
      <c r="E81" t="n">
        <v>1</v>
      </c>
      <c r="F81"/>
      <c r="G81" t="s">
        <v>481</v>
      </c>
    </row>
    <row r="82">
      <c r="A82" t="s">
        <v>113</v>
      </c>
      <c r="B82" t="s">
        <v>483</v>
      </c>
      <c r="C82" t="s">
        <v>202</v>
      </c>
      <c r="D82" t="s">
        <v>484</v>
      </c>
      <c r="E82" t="n">
        <v>0.1</v>
      </c>
      <c r="F82"/>
      <c r="G82" t="s">
        <v>485</v>
      </c>
    </row>
    <row r="83">
      <c r="A83" t="s">
        <v>113</v>
      </c>
      <c r="B83" t="s">
        <v>483</v>
      </c>
      <c r="C83" t="s">
        <v>203</v>
      </c>
      <c r="D83" t="s">
        <v>486</v>
      </c>
      <c r="E83" t="n">
        <v>0.9</v>
      </c>
      <c r="F83"/>
      <c r="G83" t="s">
        <v>485</v>
      </c>
    </row>
    <row r="84">
      <c r="A84" t="s">
        <v>114</v>
      </c>
      <c r="B84" t="s">
        <v>487</v>
      </c>
      <c r="C84" t="s">
        <v>204</v>
      </c>
      <c r="D84" t="s">
        <v>397</v>
      </c>
      <c r="E84" t="n">
        <v>0.55</v>
      </c>
      <c r="F84"/>
      <c r="G84" t="s">
        <v>488</v>
      </c>
    </row>
    <row r="85">
      <c r="A85" t="s">
        <v>114</v>
      </c>
      <c r="B85" t="s">
        <v>487</v>
      </c>
      <c r="C85" t="s">
        <v>205</v>
      </c>
      <c r="D85" t="s">
        <v>489</v>
      </c>
      <c r="E85" t="n">
        <v>0.45</v>
      </c>
      <c r="F85"/>
      <c r="G85" t="s">
        <v>488</v>
      </c>
    </row>
    <row r="86">
      <c r="A86" t="s">
        <v>129</v>
      </c>
      <c r="B86" t="s">
        <v>490</v>
      </c>
      <c r="C86" t="s">
        <v>200</v>
      </c>
      <c r="D86" t="s">
        <v>491</v>
      </c>
      <c r="E86" t="n">
        <v>0.75</v>
      </c>
      <c r="F86"/>
      <c r="G86" t="s">
        <v>492</v>
      </c>
    </row>
    <row r="87">
      <c r="A87" t="s">
        <v>129</v>
      </c>
      <c r="B87" t="s">
        <v>490</v>
      </c>
      <c r="C87" t="s">
        <v>201</v>
      </c>
      <c r="D87" t="s">
        <v>493</v>
      </c>
      <c r="E87" t="n">
        <v>0.25</v>
      </c>
      <c r="F87"/>
      <c r="G8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494</v>
      </c>
    </row>
    <row r="2">
      <c r="A2" t="s">
        <v>1</v>
      </c>
    </row>
    <row r="3">
      <c r="A3" t="s">
        <v>495</v>
      </c>
    </row>
    <row r="4">
      <c r="A4" t="s">
        <v>496</v>
      </c>
    </row>
    <row r="5">
      <c r="A5" t="s">
        <v>497</v>
      </c>
    </row>
    <row r="6">
      <c r="A6" t="s">
        <v>498</v>
      </c>
    </row>
    <row r="7">
      <c r="A7" t="s">
        <v>499</v>
      </c>
    </row>
    <row r="8">
      <c r="A8" t="s">
        <v>500</v>
      </c>
    </row>
    <row r="9">
      <c r="A9" t="s">
        <v>1</v>
      </c>
    </row>
    <row r="11">
      <c r="A11" t="s">
        <v>363</v>
      </c>
      <c r="B11" t="s">
        <v>188</v>
      </c>
      <c r="C11" t="s">
        <v>366</v>
      </c>
      <c r="D11" t="s">
        <v>368</v>
      </c>
    </row>
    <row r="12">
      <c r="A12" t="n">
        <v>212</v>
      </c>
      <c r="B12" t="s">
        <v>191</v>
      </c>
      <c r="C12" t="n">
        <v>0</v>
      </c>
      <c r="D12" t="s">
        <v>481</v>
      </c>
    </row>
    <row r="13">
      <c r="A13" t="n">
        <v>212</v>
      </c>
      <c r="B13" t="s">
        <v>193</v>
      </c>
      <c r="C13" t="n">
        <v>1</v>
      </c>
      <c r="D13" t="s">
        <v>481</v>
      </c>
    </row>
    <row r="14">
      <c r="A14" t="n">
        <v>327</v>
      </c>
      <c r="B14" t="s">
        <v>202</v>
      </c>
      <c r="C14" t="n">
        <v>0.1</v>
      </c>
      <c r="D14" t="s">
        <v>485</v>
      </c>
    </row>
    <row r="15">
      <c r="A15" t="n">
        <v>327</v>
      </c>
      <c r="B15" t="s">
        <v>203</v>
      </c>
      <c r="C15" t="n">
        <v>0.9</v>
      </c>
      <c r="D15" t="s">
        <v>485</v>
      </c>
    </row>
    <row r="16">
      <c r="A16" t="n">
        <v>331</v>
      </c>
      <c r="B16" t="s">
        <v>204</v>
      </c>
      <c r="C16" t="n">
        <v>0.55</v>
      </c>
      <c r="D16" t="s">
        <v>488</v>
      </c>
    </row>
    <row r="17">
      <c r="A17" t="n">
        <v>331</v>
      </c>
      <c r="B17" t="s">
        <v>205</v>
      </c>
      <c r="C17" t="n">
        <v>0.45</v>
      </c>
      <c r="D17" t="s">
        <v>488</v>
      </c>
    </row>
    <row r="18">
      <c r="A18" t="n">
        <v>325</v>
      </c>
      <c r="B18" t="s">
        <v>200</v>
      </c>
      <c r="C18" t="n">
        <v>0.75</v>
      </c>
      <c r="D18" t="s">
        <v>492</v>
      </c>
    </row>
    <row r="19">
      <c r="A19" t="n">
        <v>325</v>
      </c>
      <c r="B19" t="s">
        <v>201</v>
      </c>
      <c r="C19" t="n">
        <v>0.25</v>
      </c>
      <c r="D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501</v>
      </c>
    </row>
    <row r="2">
      <c r="A2" t="s">
        <v>502</v>
      </c>
    </row>
    <row r="3">
      <c r="A3" t="s">
        <v>503</v>
      </c>
    </row>
    <row r="4">
      <c r="A4" t="s">
        <v>504</v>
      </c>
    </row>
    <row r="5">
      <c r="A5" t="s">
        <v>1</v>
      </c>
    </row>
    <row r="7">
      <c r="A7" t="s">
        <v>505</v>
      </c>
      <c r="B7" t="s">
        <v>506</v>
      </c>
      <c r="C7" t="s">
        <v>507</v>
      </c>
    </row>
    <row r="8">
      <c r="A8" t="s">
        <v>190</v>
      </c>
      <c r="B8" t="s">
        <v>508</v>
      </c>
      <c r="C8" t="s">
        <v>509</v>
      </c>
    </row>
    <row r="9">
      <c r="A9" t="s">
        <v>191</v>
      </c>
      <c r="B9" t="s">
        <v>480</v>
      </c>
      <c r="C9" t="s">
        <v>510</v>
      </c>
    </row>
    <row r="10">
      <c r="A10" t="s">
        <v>192</v>
      </c>
      <c r="B10" t="s">
        <v>373</v>
      </c>
      <c r="C10" t="s">
        <v>511</v>
      </c>
    </row>
    <row r="11">
      <c r="A11" t="s">
        <v>193</v>
      </c>
      <c r="B11" t="s">
        <v>512</v>
      </c>
      <c r="C11" t="s">
        <v>513</v>
      </c>
    </row>
    <row r="12">
      <c r="A12" t="s">
        <v>194</v>
      </c>
      <c r="B12" t="s">
        <v>375</v>
      </c>
      <c r="C12" t="s">
        <v>514</v>
      </c>
    </row>
    <row r="13">
      <c r="A13" t="s">
        <v>195</v>
      </c>
      <c r="B13" t="s">
        <v>515</v>
      </c>
      <c r="C13" t="s">
        <v>516</v>
      </c>
    </row>
    <row r="14">
      <c r="A14" t="s">
        <v>196</v>
      </c>
      <c r="B14" t="s">
        <v>517</v>
      </c>
      <c r="C14" t="s">
        <v>518</v>
      </c>
    </row>
    <row r="15">
      <c r="A15" t="s">
        <v>197</v>
      </c>
      <c r="B15" t="s">
        <v>519</v>
      </c>
      <c r="C15" t="s">
        <v>520</v>
      </c>
    </row>
    <row r="16">
      <c r="A16" t="s">
        <v>198</v>
      </c>
      <c r="B16" t="s">
        <v>392</v>
      </c>
      <c r="C16" t="s">
        <v>521</v>
      </c>
    </row>
    <row r="17">
      <c r="A17" t="s">
        <v>199</v>
      </c>
      <c r="B17" t="s">
        <v>395</v>
      </c>
      <c r="C17" t="s">
        <v>522</v>
      </c>
    </row>
    <row r="18">
      <c r="A18" t="s">
        <v>200</v>
      </c>
      <c r="B18" t="s">
        <v>523</v>
      </c>
      <c r="C18" t="s">
        <v>524</v>
      </c>
    </row>
    <row r="19">
      <c r="A19" t="s">
        <v>201</v>
      </c>
      <c r="B19" t="s">
        <v>525</v>
      </c>
      <c r="C19" t="s">
        <v>526</v>
      </c>
    </row>
    <row r="20">
      <c r="A20" t="s">
        <v>110</v>
      </c>
      <c r="B20" t="s">
        <v>400</v>
      </c>
      <c r="C20" t="s">
        <v>527</v>
      </c>
    </row>
    <row r="21">
      <c r="A21" t="s">
        <v>202</v>
      </c>
      <c r="B21" t="s">
        <v>528</v>
      </c>
      <c r="C21" t="s">
        <v>529</v>
      </c>
    </row>
    <row r="22">
      <c r="A22" t="s">
        <v>203</v>
      </c>
      <c r="B22" t="s">
        <v>530</v>
      </c>
      <c r="C22" t="s">
        <v>531</v>
      </c>
    </row>
    <row r="23">
      <c r="A23" t="s">
        <v>204</v>
      </c>
      <c r="B23" t="s">
        <v>532</v>
      </c>
      <c r="C23" t="s">
        <v>533</v>
      </c>
    </row>
    <row r="24">
      <c r="A24" t="s">
        <v>205</v>
      </c>
      <c r="B24" t="s">
        <v>534</v>
      </c>
      <c r="C24" t="s">
        <v>535</v>
      </c>
    </row>
    <row r="25">
      <c r="A25" t="s">
        <v>206</v>
      </c>
      <c r="B25" t="s">
        <v>536</v>
      </c>
      <c r="C25" t="s">
        <v>537</v>
      </c>
    </row>
    <row r="26">
      <c r="A26" t="s">
        <v>207</v>
      </c>
      <c r="B26" t="s">
        <v>405</v>
      </c>
      <c r="C26" t="s">
        <v>538</v>
      </c>
    </row>
    <row r="27">
      <c r="A27" t="s">
        <v>208</v>
      </c>
      <c r="B27" t="s">
        <v>407</v>
      </c>
      <c r="C27" t="s">
        <v>539</v>
      </c>
    </row>
    <row r="28">
      <c r="A28" t="s">
        <v>209</v>
      </c>
      <c r="B28" t="s">
        <v>403</v>
      </c>
      <c r="C28" t="s">
        <v>540</v>
      </c>
    </row>
    <row r="29">
      <c r="A29" t="s">
        <v>210</v>
      </c>
      <c r="B29" t="s">
        <v>541</v>
      </c>
      <c r="C29" t="s">
        <v>542</v>
      </c>
    </row>
    <row r="30">
      <c r="A30" t="s">
        <v>211</v>
      </c>
      <c r="B30" t="s">
        <v>411</v>
      </c>
      <c r="C30" t="s">
        <v>543</v>
      </c>
    </row>
    <row r="31">
      <c r="A31" t="s">
        <v>212</v>
      </c>
      <c r="B31" t="s">
        <v>544</v>
      </c>
      <c r="C31" t="s">
        <v>545</v>
      </c>
    </row>
    <row r="32">
      <c r="A32" t="s">
        <v>213</v>
      </c>
      <c r="B32" t="s">
        <v>546</v>
      </c>
      <c r="C32" t="s">
        <v>547</v>
      </c>
    </row>
    <row r="33">
      <c r="A33" t="s">
        <v>214</v>
      </c>
      <c r="B33" t="s">
        <v>548</v>
      </c>
      <c r="C33" t="s">
        <v>549</v>
      </c>
    </row>
    <row r="34">
      <c r="A34" t="s">
        <v>215</v>
      </c>
      <c r="B34" t="s">
        <v>550</v>
      </c>
      <c r="C34" t="s">
        <v>551</v>
      </c>
    </row>
    <row r="35">
      <c r="A35" t="s">
        <v>216</v>
      </c>
      <c r="B35" t="s">
        <v>383</v>
      </c>
      <c r="C35" t="s">
        <v>552</v>
      </c>
    </row>
    <row r="36">
      <c r="A36" t="s">
        <v>217</v>
      </c>
      <c r="B36" t="s">
        <v>553</v>
      </c>
      <c r="C36" t="s">
        <v>554</v>
      </c>
    </row>
    <row r="37">
      <c r="A37" t="s">
        <v>218</v>
      </c>
      <c r="B37" t="s">
        <v>422</v>
      </c>
      <c r="C37" t="s">
        <v>555</v>
      </c>
    </row>
    <row r="38">
      <c r="A38" t="s">
        <v>219</v>
      </c>
      <c r="B38" t="s">
        <v>556</v>
      </c>
      <c r="C38" t="s">
        <v>557</v>
      </c>
    </row>
    <row r="39">
      <c r="A39" t="s">
        <v>220</v>
      </c>
      <c r="B39" t="s">
        <v>558</v>
      </c>
      <c r="C39" t="s">
        <v>559</v>
      </c>
    </row>
    <row r="40">
      <c r="A40" t="s">
        <v>161</v>
      </c>
      <c r="B40" t="s">
        <v>437</v>
      </c>
      <c r="C40" t="s">
        <v>560</v>
      </c>
    </row>
    <row r="41">
      <c r="A41" t="s">
        <v>221</v>
      </c>
      <c r="B41" t="s">
        <v>439</v>
      </c>
      <c r="C41" t="s">
        <v>561</v>
      </c>
    </row>
    <row r="42">
      <c r="A42" t="s">
        <v>222</v>
      </c>
      <c r="B42" t="s">
        <v>562</v>
      </c>
      <c r="C42" t="s">
        <v>563</v>
      </c>
    </row>
    <row r="43">
      <c r="A43" t="s">
        <v>223</v>
      </c>
      <c r="B43" t="s">
        <v>446</v>
      </c>
      <c r="C43" t="s">
        <v>564</v>
      </c>
    </row>
    <row r="44">
      <c r="A44" t="s">
        <v>224</v>
      </c>
      <c r="B44" t="s">
        <v>565</v>
      </c>
      <c r="C44" t="s">
        <v>566</v>
      </c>
    </row>
    <row r="45">
      <c r="A45" t="s">
        <v>225</v>
      </c>
      <c r="B45" t="s">
        <v>567</v>
      </c>
      <c r="C45" t="s">
        <v>568</v>
      </c>
    </row>
    <row r="46">
      <c r="A46" t="s">
        <v>226</v>
      </c>
      <c r="B46" t="s">
        <v>460</v>
      </c>
      <c r="C46" t="s">
        <v>569</v>
      </c>
    </row>
    <row r="47">
      <c r="A47" t="s">
        <v>227</v>
      </c>
      <c r="B47" t="s">
        <v>570</v>
      </c>
      <c r="C47" t="s">
        <v>571</v>
      </c>
    </row>
    <row r="48">
      <c r="A48" t="s">
        <v>228</v>
      </c>
      <c r="B48" t="s">
        <v>572</v>
      </c>
      <c r="C48" t="s">
        <v>573</v>
      </c>
    </row>
    <row r="49">
      <c r="A49" t="s">
        <v>229</v>
      </c>
      <c r="B49" t="s">
        <v>574</v>
      </c>
      <c r="C49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IFERROR(INDEX('1_Gov_purchases_by_BEA'!$B$2:$B$74, MATCH($A3, '1_Gov_purchases_by_BEA'!$A$2:$A$74,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IFERROR(INDEX('1_Gov_purchases_by_BEA'!$B$2:$B$74, MATCH($A4, '1_Gov_purchases_by_BEA'!$A$2:$A$74,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IFERROR(INDEX('1_Gov_purchases_by_BEA'!$B$2:$B$74, MATCH($A5, '1_Gov_purchases_by_BEA'!$A$2:$A$74,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IFERROR(INDEX('1_Gov_purchases_by_BEA'!$B$2:$B$74, MATCH($A6, '1_Gov_purchases_by_BEA'!$A$2:$A$74,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IFERROR(INDEX('1_Gov_purchases_by_BEA'!$B$2:$B$74, MATCH($A7, '1_Gov_purchases_by_BEA'!$A$2:$A$74,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IFERROR(INDEX('1_Gov_purchases_by_BEA'!$B$2:$B$74, MATCH($A8, '1_Gov_purchases_by_BEA'!$A$2:$A$74,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IFERROR(INDEX('1_Gov_purchases_by_BEA'!$B$2:$B$74, MATCH($A9, '1_Gov_purchases_by_BEA'!$A$2:$A$74,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IFERROR(INDEX('1_Gov_purchases_by_BEA'!$B$2:$B$74, MATCH($A10, '1_Gov_purchases_by_BEA'!$A$2:$A$74,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IFERROR(INDEX('1_Gov_purchases_by_BEA'!$B$2:$B$74, MATCH($A11, '1_Gov_purchases_by_BEA'!$A$2:$A$74,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IFERROR(INDEX('1_Gov_purchases_by_BEA'!$B$2:$B$74, MATCH($A12, '1_Gov_purchases_by_BEA'!$A$2:$A$74,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IFERROR(INDEX('1_Gov_purchases_by_BEA'!$B$2:$B$74, MATCH($A13, '1_Gov_purchases_by_BEA'!$A$2:$A$74,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IFERROR(INDEX('1_Gov_purchases_by_BEA'!$B$2:$B$74, MATCH($A14, '1_Gov_purchases_by_BEA'!$A$2:$A$74,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IFERROR(INDEX('1_Gov_purchases_by_BEA'!$B$2:$B$74, MATCH($A15, '1_Gov_purchases_by_BEA'!$A$2:$A$74,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IFERROR(INDEX('1_Gov_purchases_by_BEA'!$B$2:$B$74, MATCH($A16, '1_Gov_purchases_by_BEA'!$A$2:$A$74,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IFERROR(INDEX('1_Gov_purchases_by_BEA'!$B$2:$B$74, MATCH($A17, '1_Gov_purchases_by_BEA'!$A$2:$A$74,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IFERROR(INDEX('1_Gov_purchases_by_BEA'!$B$2:$B$74, MATCH($A18, '1_Gov_purchases_by_BEA'!$A$2:$A$74,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IFERROR(INDEX('1_Gov_purchases_by_BEA'!$B$2:$B$74, MATCH($A19, '1_Gov_purchases_by_BEA'!$A$2:$A$74,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IFERROR(INDEX('1_Gov_purchases_by_BEA'!$B$2:$B$74, MATCH($A20, '1_Gov_purchases_by_BEA'!$A$2:$A$74,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IFERROR(INDEX('1_Gov_purchases_by_BEA'!$B$2:$B$74, MATCH($A21, '1_Gov_purchases_by_BEA'!$A$2:$A$74,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IFERROR(INDEX('1_Gov_purchases_by_BEA'!$B$2:$B$74, MATCH($A22, '1_Gov_purchases_by_BEA'!$A$2:$A$74,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IFERROR(INDEX('1_Gov_purchases_by_BEA'!$B$2:$B$74, MATCH($A23, '1_Gov_purchases_by_BEA'!$A$2:$A$74,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IFERROR(INDEX('1_Gov_purchases_by_BEA'!$B$2:$B$74, MATCH($A24, '1_Gov_purchases_by_BEA'!$A$2:$A$74,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IFERROR(INDEX('1_Gov_purchases_by_BEA'!$B$2:$B$74, MATCH($A25, '1_Gov_purchases_by_BEA'!$A$2:$A$74,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IFERROR(INDEX('1_Gov_purchases_by_BEA'!$B$2:$B$74, MATCH($A26, '1_Gov_purchases_by_BEA'!$A$2:$A$74,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IFERROR(INDEX('1_Gov_purchases_by_BEA'!$B$2:$B$74, MATCH($A27, '1_Gov_purchases_by_BEA'!$A$2:$A$74,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IFERROR(INDEX('1_Gov_purchases_by_BEA'!$B$2:$B$74, MATCH($A28, '1_Gov_purchases_by_BEA'!$A$2:$A$74,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IFERROR(INDEX('1_Gov_purchases_by_BEA'!$B$2:$B$74, MATCH($A29, '1_Gov_purchases_by_BEA'!$A$2:$A$74,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IFERROR(INDEX('1_Gov_purchases_by_BEA'!$B$2:$B$74, MATCH($A30, '1_Gov_purchases_by_BEA'!$A$2:$A$74,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IFERROR(INDEX('1_Gov_purchases_by_BEA'!$B$2:$B$74, MATCH($A31, '1_Gov_purchases_by_BEA'!$A$2:$A$74,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IFERROR(INDEX('1_Gov_purchases_by_BEA'!$B$2:$B$74, MATCH($A32, '1_Gov_purchases_by_BEA'!$A$2:$A$74,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IFERROR(INDEX('1_Gov_purchases_by_BEA'!$B$2:$B$74, MATCH($A33, '1_Gov_purchases_by_BEA'!$A$2:$A$74,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IFERROR(INDEX('1_Gov_purchases_by_BEA'!$B$2:$B$74, MATCH($A34, '1_Gov_purchases_by_BEA'!$A$2:$A$74,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IFERROR(INDEX('1_Gov_purchases_by_BEA'!$B$2:$B$74, MATCH($A35, '1_Gov_purchases_by_BEA'!$A$2:$A$74,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IFERROR(INDEX('1_Gov_purchases_by_BEA'!$B$2:$B$74, MATCH($A36, '1_Gov_purchases_by_BEA'!$A$2:$A$74,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IFERROR(INDEX('1_Gov_purchases_by_BEA'!$B$2:$B$74, MATCH($A37, '1_Gov_purchases_by_BEA'!$A$2:$A$74,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IFERROR(INDEX('1_Gov_purchases_by_BEA'!$B$2:$B$74, MATCH($A38, '1_Gov_purchases_by_BEA'!$A$2:$A$74,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IFERROR(INDEX('1_Gov_purchases_by_BEA'!$B$2:$B$74, MATCH($A39, '1_Gov_purchases_by_BEA'!$A$2:$A$74,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IFERROR(INDEX('1_Gov_purchases_by_BEA'!$B$2:$B$74, MATCH($A40, '1_Gov_purchases_by_BEA'!$A$2:$A$74,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IFERROR(INDEX('1_Gov_purchases_by_BEA'!$B$2:$B$74, MATCH($A41, '1_Gov_purchases_by_BEA'!$A$2:$A$74,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IFERROR(INDEX('1_Gov_purchases_by_BEA'!$B$2:$B$74, MATCH($A42, '1_Gov_purchases_by_BEA'!$A$2:$A$74,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IFERROR(INDEX('1_Gov_purchases_by_BEA'!$B$2:$B$74, MATCH($A43, '1_Gov_purchases_by_BEA'!$A$2:$A$74,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IFERROR(INDEX('1_Gov_purchases_by_BEA'!$B$2:$B$74, MATCH($A44, '1_Gov_purchases_by_BEA'!$A$2:$A$74,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IFERROR(INDEX('1_Gov_purchases_by_BEA'!$B$2:$B$74, MATCH($A45, '1_Gov_purchases_by_BEA'!$A$2:$A$74,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IFERROR(INDEX('1_Gov_purchases_by_BEA'!$B$2:$B$74, MATCH($A46, '1_Gov_purchases_by_BEA'!$A$2:$A$74,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IFERROR(INDEX('1_Gov_purchases_by_BEA'!$B$2:$B$74, MATCH($A47, '1_Gov_purchases_by_BEA'!$A$2:$A$74,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IFERROR(INDEX('1_Gov_purchases_by_BEA'!$B$2:$B$74, MATCH($A48, '1_Gov_purchases_by_BEA'!$A$2:$A$74,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IFERROR(INDEX('1_Gov_purchases_by_BEA'!$B$2:$B$74, MATCH($A49, '1_Gov_purchases_by_BEA'!$A$2:$A$74,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IFERROR(INDEX('1_Gov_purchases_by_BEA'!$B$2:$B$74, MATCH($A50, '1_Gov_purchases_by_BEA'!$A$2:$A$74,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IFERROR(INDEX('1_Gov_purchases_by_BEA'!$B$2:$B$74, MATCH($A51, '1_Gov_purchases_by_BEA'!$A$2:$A$74,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IFERROR(INDEX('1_Gov_purchases_by_BEA'!$B$2:$B$74, MATCH($A52, '1_Gov_purchases_by_BEA'!$A$2:$A$74,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IFERROR(INDEX('1_Gov_purchases_by_BEA'!$B$2:$B$74, MATCH($A53, '1_Gov_purchases_by_BEA'!$A$2:$A$74,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IFERROR(INDEX('1_Gov_purchases_by_BEA'!$B$2:$B$74, MATCH($A54, '1_Gov_purchases_by_BEA'!$A$2:$A$74,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IFERROR(INDEX('1_Gov_purchases_by_BEA'!$B$2:$B$74, MATCH($A55, '1_Gov_purchases_by_BEA'!$A$2:$A$74,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IFERROR(INDEX('1_Gov_purchases_by_BEA'!$B$2:$B$74, MATCH($A56, '1_Gov_purchases_by_BEA'!$A$2:$A$74,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IFERROR(INDEX('1_Gov_purchases_by_BEA'!$B$2:$B$74, MATCH($A57, '1_Gov_purchases_by_BEA'!$A$2:$A$74,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IFERROR(INDEX('1_Gov_purchases_by_BEA'!$B$2:$B$74, MATCH($A58, '1_Gov_purchases_by_BEA'!$A$2:$A$74,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IFERROR(INDEX('1_Gov_purchases_by_BEA'!$B$2:$B$74, MATCH($A59, '1_Gov_purchases_by_BEA'!$A$2:$A$74,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IFERROR(INDEX('1_Gov_purchases_by_BEA'!$B$2:$B$74, MATCH($A60, '1_Gov_purchases_by_BEA'!$A$2:$A$74,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IFERROR(INDEX('1_Gov_purchases_by_BEA'!$B$2:$B$74, MATCH($A61, '1_Gov_purchases_by_BEA'!$A$2:$A$74,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IFERROR(INDEX('1_Gov_purchases_by_BEA'!$B$2:$B$74, MATCH($A62, '1_Gov_purchases_by_BEA'!$A$2:$A$74,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IFERROR(INDEX('1_Gov_purchases_by_BEA'!$B$2:$B$74, MATCH($A63, '1_Gov_purchases_by_BEA'!$A$2:$A$74,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IFERROR(INDEX('1_Gov_purchases_by_BEA'!$B$2:$B$74, MATCH($A64, '1_Gov_purchases_by_BEA'!$A$2:$A$74,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IFERROR(INDEX('1_Gov_purchases_by_BEA'!$B$2:$B$74, MATCH($A65, '1_Gov_purchases_by_BEA'!$A$2:$A$74,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IFERROR(INDEX('1_Gov_purchases_by_BEA'!$B$2:$B$74, MATCH($A66, '1_Gov_purchases_by_BEA'!$A$2:$A$74,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IFERROR(INDEX('1_Gov_purchases_by_BEA'!$B$2:$B$74, MATCH($A67, '1_Gov_purchases_by_BEA'!$A$2:$A$74,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IFERROR(INDEX('1_Gov_purchases_by_BEA'!$B$2:$B$74, MATCH($A68, '1_Gov_purchases_by_BEA'!$A$2:$A$74,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IFERROR(INDEX('1_Gov_purchases_by_BEA'!$B$2:$B$74, MATCH($A69, '1_Gov_purchases_by_BEA'!$A$2:$A$74,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IFERROR(INDEX('1_Gov_purchases_by_BEA'!$B$2:$B$74, MATCH($A70, '1_Gov_purchases_by_BEA'!$A$2:$A$74,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IFERROR(INDEX('1_Gov_purchases_by_BEA'!$B$2:$B$74, MATCH($A71, '1_Gov_purchases_by_BEA'!$A$2:$A$74,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IFERROR(INDEX('1_Gov_purchases_by_BEA'!$B$2:$B$74, MATCH($A72, '1_Gov_purchases_by_BEA'!$A$2:$A$74,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IFERROR(INDEX('1_Gov_purchases_by_BEA'!$B$2:$B$74, MATCH($A73, '1_Gov_purchases_by_BEA'!$A$2:$A$74,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IFERROR(INDEX('1_Gov_purchases_by_BEA'!$B$2:$B$74, MATCH($A74, '1_Gov_purchases_by_BEA'!$A$2:$A$74,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IFERROR(INDEX('1_Gov_purchases_by_BEA'!$B$2:$B$74, MATCH($A75, '1_Gov_purchases_by_BEA'!$A$2:$A$74,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IFERROR(INDEX('1_Gov_purchases_by_BEA'!$B$2:$B$74, MATCH($A76, '1_Gov_purchases_by_BEA'!$A$2:$A$74,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IFERROR(INDEX('1_Gov_purchases_by_BEA'!$B$2:$B$74, MATCH($A77, '1_Gov_purchases_by_BEA'!$A$2:$A$74,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IFERROR(INDEX('1_Gov_purchases_by_BEA'!$B$2:$B$74, MATCH($A78, '1_Gov_purchases_by_BEA'!$A$2:$A$74,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IFERROR(INDEX('1_Gov_purchases_by_BEA'!$B$2:$B$74, MATCH($A79, '1_Gov_purchases_by_BEA'!$A$2:$A$74,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IFERROR(INDEX('1_Gov_purchases_by_BEA'!$B$2:$B$74, MATCH($A80, '1_Gov_purchases_by_BEA'!$A$2:$A$74,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IFERROR(INDEX('1_Gov_purchases_by_BEA'!$B$2:$B$74, MATCH($A81, '1_Gov_purchases_by_BEA'!$A$2:$A$74,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SUMIFS('6_Calc_Gov_ISIC'!$E$3:$E$81, '6_Calc_Gov_ISIC'!$B$3:$B$81, $A85)</f>
      </c>
      <c r="C85" t="str">
        <f>B85</f>
      </c>
    </row>
    <row r="86">
      <c r="A86" t="s">
        <v>191</v>
      </c>
      <c r="B86" t="str">
        <f>SUMIFS('6_Calc_Gov_ISIC'!$E$3:$E$81, '6_Calc_Gov_ISIC'!$B$3:$B$81, $A86)</f>
      </c>
      <c r="C86" t="str">
        <f>B86</f>
      </c>
    </row>
    <row r="87">
      <c r="A87" t="s">
        <v>192</v>
      </c>
      <c r="B87" t="str">
        <f>SUMIFS('6_Calc_Gov_ISIC'!$E$3:$E$81, '6_Calc_Gov_ISIC'!$B$3:$B$81, $A87)</f>
      </c>
      <c r="C87" t="str">
        <f>B87</f>
      </c>
    </row>
    <row r="88">
      <c r="A88" t="s">
        <v>193</v>
      </c>
      <c r="B88" t="str">
        <f>SUMIFS('6_Calc_Gov_ISIC'!$E$3:$E$81, '6_Calc_Gov_ISIC'!$B$3:$B$81, $A88)</f>
      </c>
      <c r="C88" t="str">
        <f>B88</f>
      </c>
    </row>
    <row r="89">
      <c r="A89" t="s">
        <v>195</v>
      </c>
      <c r="B89" t="str">
        <f>SUMIFS('6_Calc_Gov_ISIC'!$E$3:$E$81, '6_Calc_Gov_ISIC'!$B$3:$B$81, $A89)</f>
      </c>
      <c r="C89" t="str">
        <f>B89</f>
      </c>
    </row>
    <row r="90">
      <c r="A90" t="s">
        <v>196</v>
      </c>
      <c r="B90" t="str">
        <f>SUMIFS('6_Calc_Gov_ISIC'!$E$3:$E$81, '6_Calc_Gov_ISIC'!$B$3:$B$81, $A90)</f>
      </c>
      <c r="C90" t="str">
        <f>B90</f>
      </c>
    </row>
    <row r="91">
      <c r="A91" t="s">
        <v>197</v>
      </c>
      <c r="B91" t="str">
        <f>SUMIFS('6_Calc_Gov_ISIC'!$E$3:$E$81, '6_Calc_Gov_ISIC'!$B$3:$B$81, $A91)</f>
      </c>
      <c r="C91" t="str">
        <f>B91</f>
      </c>
    </row>
    <row r="92">
      <c r="A92" t="s">
        <v>198</v>
      </c>
      <c r="B92" t="str">
        <f>SUMIFS('6_Calc_Gov_ISIC'!$E$3:$E$81, '6_Calc_Gov_ISIC'!$B$3:$B$81, $A92)</f>
      </c>
      <c r="C92" t="str">
        <f>B92</f>
      </c>
    </row>
    <row r="93">
      <c r="A93" t="s">
        <v>199</v>
      </c>
      <c r="B93" t="str">
        <f>SUMIFS('6_Calc_Gov_ISIC'!$E$3:$E$81, '6_Calc_Gov_ISIC'!$B$3:$B$81, $A93)</f>
      </c>
      <c r="C93" t="str">
        <f>B93</f>
      </c>
    </row>
    <row r="94">
      <c r="A94" t="s">
        <v>200</v>
      </c>
      <c r="B94" t="str">
        <f>SUMIFS('6_Calc_Gov_ISIC'!$E$3:$E$81, '6_Calc_Gov_ISIC'!$B$3:$B$81, $A94)</f>
      </c>
      <c r="C94" t="str">
        <f>B94</f>
      </c>
    </row>
    <row r="95">
      <c r="A95" t="s">
        <v>110</v>
      </c>
      <c r="B95" t="str">
        <f>SUMIFS('6_Calc_Gov_ISIC'!$E$3:$E$81, '6_Calc_Gov_ISIC'!$B$3:$B$81, $A95)</f>
      </c>
      <c r="C95" t="str">
        <f>B95</f>
      </c>
    </row>
    <row r="96">
      <c r="A96" t="s">
        <v>202</v>
      </c>
      <c r="B96" t="str">
        <f>SUMIFS('6_Calc_Gov_ISIC'!$E$3:$E$81, '6_Calc_Gov_ISIC'!$B$3:$B$81, $A96)</f>
      </c>
      <c r="C96" t="str">
        <f>B96</f>
      </c>
    </row>
    <row r="97">
      <c r="A97" t="s">
        <v>203</v>
      </c>
      <c r="B97" t="str">
        <f>SUMIFS('6_Calc_Gov_ISIC'!$E$3:$E$81, '6_Calc_Gov_ISIC'!$B$3:$B$81, $A97)</f>
      </c>
      <c r="C97" t="str">
        <f>B97</f>
      </c>
    </row>
    <row r="98">
      <c r="A98" t="s">
        <v>204</v>
      </c>
      <c r="B98" t="str">
        <f>SUMIFS('6_Calc_Gov_ISIC'!$E$3:$E$81, '6_Calc_Gov_ISIC'!$B$3:$B$81, $A98)</f>
      </c>
      <c r="C98" t="str">
        <f>B98</f>
      </c>
    </row>
    <row r="99">
      <c r="A99" t="s">
        <v>205</v>
      </c>
      <c r="B99" t="str">
        <f>SUMIFS('6_Calc_Gov_ISIC'!$E$3:$E$81, '6_Calc_Gov_ISIC'!$B$3:$B$81, $A99)</f>
      </c>
      <c r="C99" t="str">
        <f>B99</f>
      </c>
    </row>
    <row r="100">
      <c r="A100" t="s">
        <v>206</v>
      </c>
      <c r="B100" t="str">
        <f>SUMIFS('6_Calc_Gov_ISIC'!$E$3:$E$81, '6_Calc_Gov_ISIC'!$B$3:$B$81, $A100)</f>
      </c>
      <c r="C100" t="str">
        <f>B100</f>
      </c>
    </row>
    <row r="101">
      <c r="A101" t="s">
        <v>207</v>
      </c>
      <c r="B101" t="str">
        <f>SUMIFS('6_Calc_Gov_ISIC'!$E$3:$E$81, '6_Calc_Gov_ISIC'!$B$3:$B$81, $A101)</f>
      </c>
      <c r="C101" t="str">
        <f>B101</f>
      </c>
    </row>
    <row r="102">
      <c r="A102" t="s">
        <v>208</v>
      </c>
      <c r="B102" t="str">
        <f>SUMIFS('6_Calc_Gov_ISIC'!$E$3:$E$81, '6_Calc_Gov_ISIC'!$B$3:$B$81, $A102)</f>
      </c>
      <c r="C102" t="str">
        <f>B102</f>
      </c>
    </row>
    <row r="103">
      <c r="A103" t="s">
        <v>209</v>
      </c>
      <c r="B103" t="str">
        <f>SUMIFS('6_Calc_Gov_ISIC'!$E$3:$E$81, '6_Calc_Gov_ISIC'!$B$3:$B$81, $A103)</f>
      </c>
      <c r="C103" t="str">
        <f>B103</f>
      </c>
    </row>
    <row r="104">
      <c r="A104" t="s">
        <v>210</v>
      </c>
      <c r="B104" t="str">
        <f>SUMIFS('6_Calc_Gov_ISIC'!$E$3:$E$81, '6_Calc_Gov_ISIC'!$B$3:$B$81, $A104)</f>
      </c>
      <c r="C104" t="str">
        <f>B104</f>
      </c>
    </row>
    <row r="105">
      <c r="A105" t="s">
        <v>211</v>
      </c>
      <c r="B105" t="str">
        <f>SUMIFS('6_Calc_Gov_ISIC'!$E$3:$E$81, '6_Calc_Gov_ISIC'!$B$3:$B$81, $A105)</f>
      </c>
      <c r="C105" t="str">
        <f>B105</f>
      </c>
    </row>
    <row r="106">
      <c r="A106" t="s">
        <v>212</v>
      </c>
      <c r="B106" t="str">
        <f>SUMIFS('6_Calc_Gov_ISIC'!$E$3:$E$81, '6_Calc_Gov_ISIC'!$B$3:$B$81, $A106)</f>
      </c>
      <c r="C106" t="str">
        <f>B106</f>
      </c>
    </row>
    <row r="107">
      <c r="A107" t="s">
        <v>214</v>
      </c>
      <c r="B107" t="str">
        <f>SUMIFS('6_Calc_Gov_ISIC'!$E$3:$E$81, '6_Calc_Gov_ISIC'!$B$3:$B$81, $A107)</f>
      </c>
      <c r="C107" t="str">
        <f>B107</f>
      </c>
    </row>
    <row r="108">
      <c r="A108" t="s">
        <v>215</v>
      </c>
      <c r="B108" t="str">
        <f>SUMIFS('6_Calc_Gov_ISIC'!$E$3:$E$81, '6_Calc_Gov_ISIC'!$B$3:$B$81, $A108)</f>
      </c>
      <c r="C108" t="str">
        <f>B108</f>
      </c>
    </row>
    <row r="109">
      <c r="A109" t="s">
        <v>216</v>
      </c>
      <c r="B109" t="str">
        <f>SUMIFS('6_Calc_Gov_ISIC'!$E$3:$E$81, '6_Calc_Gov_ISIC'!$B$3:$B$81,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IFERROR(INDEX('2_HH_purchases_by_BEA'!$B$2:$B$74, MATCH($A3, '2_HH_purchases_by_BEA'!$A$2:$A$74,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IFERROR(INDEX('2_HH_purchases_by_BEA'!$B$2:$B$74, MATCH($A4, '2_HH_purchases_by_BEA'!$A$2:$A$74,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IFERROR(INDEX('2_HH_purchases_by_BEA'!$B$2:$B$74, MATCH($A5, '2_HH_purchases_by_BEA'!$A$2:$A$74,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IFERROR(INDEX('2_HH_purchases_by_BEA'!$B$2:$B$74, MATCH($A6, '2_HH_purchases_by_BEA'!$A$2:$A$74,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IFERROR(INDEX('2_HH_purchases_by_BEA'!$B$2:$B$74, MATCH($A7, '2_HH_purchases_by_BEA'!$A$2:$A$74,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IFERROR(INDEX('2_HH_purchases_by_BEA'!$B$2:$B$74, MATCH($A8, '2_HH_purchases_by_BEA'!$A$2:$A$74,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IFERROR(INDEX('2_HH_purchases_by_BEA'!$B$2:$B$74, MATCH($A9, '2_HH_purchases_by_BEA'!$A$2:$A$74,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IFERROR(INDEX('2_HH_purchases_by_BEA'!$B$2:$B$74, MATCH($A10, '2_HH_purchases_by_BEA'!$A$2:$A$74,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IFERROR(INDEX('2_HH_purchases_by_BEA'!$B$2:$B$74, MATCH($A11, '2_HH_purchases_by_BEA'!$A$2:$A$74,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IFERROR(INDEX('2_HH_purchases_by_BEA'!$B$2:$B$74, MATCH($A12, '2_HH_purchases_by_BEA'!$A$2:$A$74,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IFERROR(INDEX('2_HH_purchases_by_BEA'!$B$2:$B$74, MATCH($A13, '2_HH_purchases_by_BEA'!$A$2:$A$74,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IFERROR(INDEX('2_HH_purchases_by_BEA'!$B$2:$B$74, MATCH($A14, '2_HH_purchases_by_BEA'!$A$2:$A$74,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IFERROR(INDEX('2_HH_purchases_by_BEA'!$B$2:$B$74, MATCH($A15, '2_HH_purchases_by_BEA'!$A$2:$A$74,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IFERROR(INDEX('2_HH_purchases_by_BEA'!$B$2:$B$74, MATCH($A16, '2_HH_purchases_by_BEA'!$A$2:$A$74,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IFERROR(INDEX('2_HH_purchases_by_BEA'!$B$2:$B$74, MATCH($A17, '2_HH_purchases_by_BEA'!$A$2:$A$74,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IFERROR(INDEX('2_HH_purchases_by_BEA'!$B$2:$B$74, MATCH($A18, '2_HH_purchases_by_BEA'!$A$2:$A$74,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IFERROR(INDEX('2_HH_purchases_by_BEA'!$B$2:$B$74, MATCH($A19, '2_HH_purchases_by_BEA'!$A$2:$A$74,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IFERROR(INDEX('2_HH_purchases_by_BEA'!$B$2:$B$74, MATCH($A20, '2_HH_purchases_by_BEA'!$A$2:$A$74,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IFERROR(INDEX('2_HH_purchases_by_BEA'!$B$2:$B$74, MATCH($A21, '2_HH_purchases_by_BEA'!$A$2:$A$74,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IFERROR(INDEX('2_HH_purchases_by_BEA'!$B$2:$B$74, MATCH($A22, '2_HH_purchases_by_BEA'!$A$2:$A$74,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IFERROR(INDEX('2_HH_purchases_by_BEA'!$B$2:$B$74, MATCH($A23, '2_HH_purchases_by_BEA'!$A$2:$A$74,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IFERROR(INDEX('2_HH_purchases_by_BEA'!$B$2:$B$74, MATCH($A24, '2_HH_purchases_by_BEA'!$A$2:$A$74,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IFERROR(INDEX('2_HH_purchases_by_BEA'!$B$2:$B$74, MATCH($A25, '2_HH_purchases_by_BEA'!$A$2:$A$74,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IFERROR(INDEX('2_HH_purchases_by_BEA'!$B$2:$B$74, MATCH($A26, '2_HH_purchases_by_BEA'!$A$2:$A$74,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IFERROR(INDEX('2_HH_purchases_by_BEA'!$B$2:$B$74, MATCH($A27, '2_HH_purchases_by_BEA'!$A$2:$A$74,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IFERROR(INDEX('2_HH_purchases_by_BEA'!$B$2:$B$74, MATCH($A28, '2_HH_purchases_by_BEA'!$A$2:$A$74,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IFERROR(INDEX('2_HH_purchases_by_BEA'!$B$2:$B$74, MATCH($A29, '2_HH_purchases_by_BEA'!$A$2:$A$74,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IFERROR(INDEX('2_HH_purchases_by_BEA'!$B$2:$B$74, MATCH($A30, '2_HH_purchases_by_BEA'!$A$2:$A$74,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IFERROR(INDEX('2_HH_purchases_by_BEA'!$B$2:$B$74, MATCH($A31, '2_HH_purchases_by_BEA'!$A$2:$A$74,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IFERROR(INDEX('2_HH_purchases_by_BEA'!$B$2:$B$74, MATCH($A32, '2_HH_purchases_by_BEA'!$A$2:$A$74,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IFERROR(INDEX('2_HH_purchases_by_BEA'!$B$2:$B$74, MATCH($A33, '2_HH_purchases_by_BEA'!$A$2:$A$74,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IFERROR(INDEX('2_HH_purchases_by_BEA'!$B$2:$B$74, MATCH($A34, '2_HH_purchases_by_BEA'!$A$2:$A$74,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IFERROR(INDEX('2_HH_purchases_by_BEA'!$B$2:$B$74, MATCH($A35, '2_HH_purchases_by_BEA'!$A$2:$A$74,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IFERROR(INDEX('2_HH_purchases_by_BEA'!$B$2:$B$74, MATCH($A36, '2_HH_purchases_by_BEA'!$A$2:$A$74,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IFERROR(INDEX('2_HH_purchases_by_BEA'!$B$2:$B$74, MATCH($A37, '2_HH_purchases_by_BEA'!$A$2:$A$74,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IFERROR(INDEX('2_HH_purchases_by_BEA'!$B$2:$B$74, MATCH($A38, '2_HH_purchases_by_BEA'!$A$2:$A$74,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IFERROR(INDEX('2_HH_purchases_by_BEA'!$B$2:$B$74, MATCH($A39, '2_HH_purchases_by_BEA'!$A$2:$A$74,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IFERROR(INDEX('2_HH_purchases_by_BEA'!$B$2:$B$74, MATCH($A40, '2_HH_purchases_by_BEA'!$A$2:$A$74,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IFERROR(INDEX('2_HH_purchases_by_BEA'!$B$2:$B$74, MATCH($A41, '2_HH_purchases_by_BEA'!$A$2:$A$74,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IFERROR(INDEX('2_HH_purchases_by_BEA'!$B$2:$B$74, MATCH($A42, '2_HH_purchases_by_BEA'!$A$2:$A$74,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IFERROR(INDEX('2_HH_purchases_by_BEA'!$B$2:$B$74, MATCH($A43, '2_HH_purchases_by_BEA'!$A$2:$A$74,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IFERROR(INDEX('2_HH_purchases_by_BEA'!$B$2:$B$74, MATCH($A44, '2_HH_purchases_by_BEA'!$A$2:$A$74,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IFERROR(INDEX('2_HH_purchases_by_BEA'!$B$2:$B$74, MATCH($A45, '2_HH_purchases_by_BEA'!$A$2:$A$74,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IFERROR(INDEX('2_HH_purchases_by_BEA'!$B$2:$B$74, MATCH($A46, '2_HH_purchases_by_BEA'!$A$2:$A$74,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IFERROR(INDEX('2_HH_purchases_by_BEA'!$B$2:$B$74, MATCH($A47, '2_HH_purchases_by_BEA'!$A$2:$A$74,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IFERROR(INDEX('2_HH_purchases_by_BEA'!$B$2:$B$74, MATCH($A48, '2_HH_purchases_by_BEA'!$A$2:$A$74,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IFERROR(INDEX('2_HH_purchases_by_BEA'!$B$2:$B$74, MATCH($A49, '2_HH_purchases_by_BEA'!$A$2:$A$74,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IFERROR(INDEX('2_HH_purchases_by_BEA'!$B$2:$B$74, MATCH($A50, '2_HH_purchases_by_BEA'!$A$2:$A$74,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IFERROR(INDEX('2_HH_purchases_by_BEA'!$B$2:$B$74, MATCH($A51, '2_HH_purchases_by_BEA'!$A$2:$A$74,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IFERROR(INDEX('2_HH_purchases_by_BEA'!$B$2:$B$74, MATCH($A52, '2_HH_purchases_by_BEA'!$A$2:$A$74,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IFERROR(INDEX('2_HH_purchases_by_BEA'!$B$2:$B$74, MATCH($A53, '2_HH_purchases_by_BEA'!$A$2:$A$74,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IFERROR(INDEX('2_HH_purchases_by_BEA'!$B$2:$B$74, MATCH($A54, '2_HH_purchases_by_BEA'!$A$2:$A$74,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IFERROR(INDEX('2_HH_purchases_by_BEA'!$B$2:$B$74, MATCH($A55, '2_HH_purchases_by_BEA'!$A$2:$A$74,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IFERROR(INDEX('2_HH_purchases_by_BEA'!$B$2:$B$74, MATCH($A56, '2_HH_purchases_by_BEA'!$A$2:$A$74,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IFERROR(INDEX('2_HH_purchases_by_BEA'!$B$2:$B$74, MATCH($A57, '2_HH_purchases_by_BEA'!$A$2:$A$74,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IFERROR(INDEX('2_HH_purchases_by_BEA'!$B$2:$B$74, MATCH($A58, '2_HH_purchases_by_BEA'!$A$2:$A$74,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IFERROR(INDEX('2_HH_purchases_by_BEA'!$B$2:$B$74, MATCH($A59, '2_HH_purchases_by_BEA'!$A$2:$A$74,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IFERROR(INDEX('2_HH_purchases_by_BEA'!$B$2:$B$74, MATCH($A60, '2_HH_purchases_by_BEA'!$A$2:$A$74,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IFERROR(INDEX('2_HH_purchases_by_BEA'!$B$2:$B$74, MATCH($A61, '2_HH_purchases_by_BEA'!$A$2:$A$74,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IFERROR(INDEX('2_HH_purchases_by_BEA'!$B$2:$B$74, MATCH($A62, '2_HH_purchases_by_BEA'!$A$2:$A$74,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IFERROR(INDEX('2_HH_purchases_by_BEA'!$B$2:$B$74, MATCH($A63, '2_HH_purchases_by_BEA'!$A$2:$A$74,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IFERROR(INDEX('2_HH_purchases_by_BEA'!$B$2:$B$74, MATCH($A64, '2_HH_purchases_by_BEA'!$A$2:$A$74,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IFERROR(INDEX('2_HH_purchases_by_BEA'!$B$2:$B$74, MATCH($A65, '2_HH_purchases_by_BEA'!$A$2:$A$74,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IFERROR(INDEX('2_HH_purchases_by_BEA'!$B$2:$B$74, MATCH($A66, '2_HH_purchases_by_BEA'!$A$2:$A$74,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IFERROR(INDEX('2_HH_purchases_by_BEA'!$B$2:$B$74, MATCH($A67, '2_HH_purchases_by_BEA'!$A$2:$A$74,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IFERROR(INDEX('2_HH_purchases_by_BEA'!$B$2:$B$74, MATCH($A68, '2_HH_purchases_by_BEA'!$A$2:$A$74,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IFERROR(INDEX('2_HH_purchases_by_BEA'!$B$2:$B$74, MATCH($A69, '2_HH_purchases_by_BEA'!$A$2:$A$74,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IFERROR(INDEX('2_HH_purchases_by_BEA'!$B$2:$B$74, MATCH($A70, '2_HH_purchases_by_BEA'!$A$2:$A$74,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IFERROR(INDEX('2_HH_purchases_by_BEA'!$B$2:$B$74, MATCH($A71, '2_HH_purchases_by_BEA'!$A$2:$A$74,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IFERROR(INDEX('2_HH_purchases_by_BEA'!$B$2:$B$74, MATCH($A72, '2_HH_purchases_by_BEA'!$A$2:$A$74,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IFERROR(INDEX('2_HH_purchases_by_BEA'!$B$2:$B$74, MATCH($A73, '2_HH_purchases_by_BEA'!$A$2:$A$74,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IFERROR(INDEX('2_HH_purchases_by_BEA'!$B$2:$B$74, MATCH($A74, '2_HH_purchases_by_BEA'!$A$2:$A$74,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IFERROR(INDEX('2_HH_purchases_by_BEA'!$B$2:$B$74, MATCH($A75, '2_HH_purchases_by_BEA'!$A$2:$A$74,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IFERROR(INDEX('2_HH_purchases_by_BEA'!$B$2:$B$74, MATCH($A76, '2_HH_purchases_by_BEA'!$A$2:$A$74,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IFERROR(INDEX('2_HH_purchases_by_BEA'!$B$2:$B$74, MATCH($A77, '2_HH_purchases_by_BEA'!$A$2:$A$74,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IFERROR(INDEX('2_HH_purchases_by_BEA'!$B$2:$B$74, MATCH($A78, '2_HH_purchases_by_BEA'!$A$2:$A$74,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IFERROR(INDEX('2_HH_purchases_by_BEA'!$B$2:$B$74, MATCH($A79, '2_HH_purchases_by_BEA'!$A$2:$A$74,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IFERROR(INDEX('2_HH_purchases_by_BEA'!$B$2:$B$74, MATCH($A80, '2_HH_purchases_by_BEA'!$A$2:$A$74,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IFERROR(INDEX('2_HH_purchases_by_BEA'!$B$2:$B$74, MATCH($A81, '2_HH_purchases_by_BEA'!$A$2:$A$74,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SUMIFS('7_Calc_HH_ISIC'!$E$3:$E$81, '7_Calc_HH_ISIC'!$B$3:$B$81, $A85)</f>
      </c>
      <c r="C85" t="str">
        <f>B85</f>
      </c>
    </row>
    <row r="86">
      <c r="A86" t="s">
        <v>191</v>
      </c>
      <c r="B86" t="str">
        <f>SUMIFS('7_Calc_HH_ISIC'!$E$3:$E$81, '7_Calc_HH_ISIC'!$B$3:$B$81, $A86)</f>
      </c>
      <c r="C86" t="str">
        <f>B86</f>
      </c>
    </row>
    <row r="87">
      <c r="A87" t="s">
        <v>192</v>
      </c>
      <c r="B87" t="str">
        <f>SUMIFS('7_Calc_HH_ISIC'!$E$3:$E$81, '7_Calc_HH_ISIC'!$B$3:$B$81, $A87)</f>
      </c>
      <c r="C87" t="str">
        <f>B87</f>
      </c>
    </row>
    <row r="88">
      <c r="A88" t="s">
        <v>193</v>
      </c>
      <c r="B88" t="str">
        <f>SUMIFS('7_Calc_HH_ISIC'!$E$3:$E$81, '7_Calc_HH_ISIC'!$B$3:$B$81, $A88)</f>
      </c>
      <c r="C88" t="str">
        <f>B88</f>
      </c>
    </row>
    <row r="89">
      <c r="A89" t="s">
        <v>195</v>
      </c>
      <c r="B89" t="str">
        <f>SUMIFS('7_Calc_HH_ISIC'!$E$3:$E$81, '7_Calc_HH_ISIC'!$B$3:$B$81, $A89)</f>
      </c>
      <c r="C89" t="str">
        <f>B89</f>
      </c>
    </row>
    <row r="90">
      <c r="A90" t="s">
        <v>196</v>
      </c>
      <c r="B90" t="str">
        <f>SUMIFS('7_Calc_HH_ISIC'!$E$3:$E$81, '7_Calc_HH_ISIC'!$B$3:$B$81, $A90)</f>
      </c>
      <c r="C90" t="str">
        <f>B90</f>
      </c>
    </row>
    <row r="91">
      <c r="A91" t="s">
        <v>197</v>
      </c>
      <c r="B91" t="str">
        <f>SUMIFS('7_Calc_HH_ISIC'!$E$3:$E$81, '7_Calc_HH_ISIC'!$B$3:$B$81, $A91)</f>
      </c>
      <c r="C91" t="str">
        <f>B91</f>
      </c>
    </row>
    <row r="92">
      <c r="A92" t="s">
        <v>198</v>
      </c>
      <c r="B92" t="str">
        <f>SUMIFS('7_Calc_HH_ISIC'!$E$3:$E$81, '7_Calc_HH_ISIC'!$B$3:$B$81, $A92)</f>
      </c>
      <c r="C92" t="str">
        <f>B92</f>
      </c>
    </row>
    <row r="93">
      <c r="A93" t="s">
        <v>199</v>
      </c>
      <c r="B93" t="str">
        <f>SUMIFS('7_Calc_HH_ISIC'!$E$3:$E$81, '7_Calc_HH_ISIC'!$B$3:$B$81, $A93)</f>
      </c>
      <c r="C93" t="str">
        <f>B93</f>
      </c>
    </row>
    <row r="94">
      <c r="A94" t="s">
        <v>200</v>
      </c>
      <c r="B94" t="str">
        <f>SUMIFS('7_Calc_HH_ISIC'!$E$3:$E$81, '7_Calc_HH_ISIC'!$B$3:$B$81, $A94)</f>
      </c>
      <c r="C94" t="str">
        <f>B94</f>
      </c>
    </row>
    <row r="95">
      <c r="A95" t="s">
        <v>110</v>
      </c>
      <c r="B95" t="str">
        <f>SUMIFS('7_Calc_HH_ISIC'!$E$3:$E$81, '7_Calc_HH_ISIC'!$B$3:$B$81, $A95)</f>
      </c>
      <c r="C95" t="str">
        <f>B95</f>
      </c>
    </row>
    <row r="96">
      <c r="A96" t="s">
        <v>202</v>
      </c>
      <c r="B96" t="str">
        <f>SUMIFS('7_Calc_HH_ISIC'!$E$3:$E$81, '7_Calc_HH_ISIC'!$B$3:$B$81, $A96)</f>
      </c>
      <c r="C96" t="str">
        <f>B96</f>
      </c>
    </row>
    <row r="97">
      <c r="A97" t="s">
        <v>203</v>
      </c>
      <c r="B97" t="str">
        <f>SUMIFS('7_Calc_HH_ISIC'!$E$3:$E$81, '7_Calc_HH_ISIC'!$B$3:$B$81, $A97)</f>
      </c>
      <c r="C97" t="str">
        <f>B97</f>
      </c>
    </row>
    <row r="98">
      <c r="A98" t="s">
        <v>204</v>
      </c>
      <c r="B98" t="str">
        <f>SUMIFS('7_Calc_HH_ISIC'!$E$3:$E$81, '7_Calc_HH_ISIC'!$B$3:$B$81, $A98)</f>
      </c>
      <c r="C98" t="str">
        <f>B98</f>
      </c>
    </row>
    <row r="99">
      <c r="A99" t="s">
        <v>205</v>
      </c>
      <c r="B99" t="str">
        <f>SUMIFS('7_Calc_HH_ISIC'!$E$3:$E$81, '7_Calc_HH_ISIC'!$B$3:$B$81, $A99)</f>
      </c>
      <c r="C99" t="str">
        <f>B99</f>
      </c>
    </row>
    <row r="100">
      <c r="A100" t="s">
        <v>206</v>
      </c>
      <c r="B100" t="str">
        <f>SUMIFS('7_Calc_HH_ISIC'!$E$3:$E$81, '7_Calc_HH_ISIC'!$B$3:$B$81, $A100)</f>
      </c>
      <c r="C100" t="str">
        <f>B100</f>
      </c>
    </row>
    <row r="101">
      <c r="A101" t="s">
        <v>207</v>
      </c>
      <c r="B101" t="str">
        <f>SUMIFS('7_Calc_HH_ISIC'!$E$3:$E$81, '7_Calc_HH_ISIC'!$B$3:$B$81, $A101)</f>
      </c>
      <c r="C101" t="str">
        <f>B101</f>
      </c>
    </row>
    <row r="102">
      <c r="A102" t="s">
        <v>208</v>
      </c>
      <c r="B102" t="str">
        <f>SUMIFS('7_Calc_HH_ISIC'!$E$3:$E$81, '7_Calc_HH_ISIC'!$B$3:$B$81, $A102)</f>
      </c>
      <c r="C102" t="str">
        <f>B102</f>
      </c>
    </row>
    <row r="103">
      <c r="A103" t="s">
        <v>209</v>
      </c>
      <c r="B103" t="str">
        <f>SUMIFS('7_Calc_HH_ISIC'!$E$3:$E$81, '7_Calc_HH_ISIC'!$B$3:$B$81, $A103)</f>
      </c>
      <c r="C103" t="str">
        <f>B103</f>
      </c>
    </row>
    <row r="104">
      <c r="A104" t="s">
        <v>210</v>
      </c>
      <c r="B104" t="str">
        <f>SUMIFS('7_Calc_HH_ISIC'!$E$3:$E$81, '7_Calc_HH_ISIC'!$B$3:$B$81, $A104)</f>
      </c>
      <c r="C104" t="str">
        <f>B104</f>
      </c>
    </row>
    <row r="105">
      <c r="A105" t="s">
        <v>211</v>
      </c>
      <c r="B105" t="str">
        <f>SUMIFS('7_Calc_HH_ISIC'!$E$3:$E$81, '7_Calc_HH_ISIC'!$B$3:$B$81, $A105)</f>
      </c>
      <c r="C105" t="str">
        <f>B105</f>
      </c>
    </row>
    <row r="106">
      <c r="A106" t="s">
        <v>212</v>
      </c>
      <c r="B106" t="str">
        <f>SUMIFS('7_Calc_HH_ISIC'!$E$3:$E$81, '7_Calc_HH_ISIC'!$B$3:$B$81, $A106)</f>
      </c>
      <c r="C106" t="str">
        <f>B106</f>
      </c>
    </row>
    <row r="107">
      <c r="A107" t="s">
        <v>214</v>
      </c>
      <c r="B107" t="str">
        <f>SUMIFS('7_Calc_HH_ISIC'!$E$3:$E$81, '7_Calc_HH_ISIC'!$B$3:$B$81, $A107)</f>
      </c>
      <c r="C107" t="str">
        <f>B107</f>
      </c>
    </row>
    <row r="108">
      <c r="A108" t="s">
        <v>215</v>
      </c>
      <c r="B108" t="str">
        <f>SUMIFS('7_Calc_HH_ISIC'!$E$3:$E$81, '7_Calc_HH_ISIC'!$B$3:$B$81, $A108)</f>
      </c>
      <c r="C108" t="str">
        <f>B108</f>
      </c>
    </row>
    <row r="109">
      <c r="A109" t="s">
        <v>216</v>
      </c>
      <c r="B109" t="str">
        <f>SUMIFS('7_Calc_HH_ISIC'!$E$3:$E$81, '7_Calc_HH_ISIC'!$B$3:$B$81,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IFERROR(INDEX('3_Intl_purchases_by_BEA'!$B$2:$B$74, MATCH($A3, '3_Intl_purchases_by_BEA'!$A$2:$A$74,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IFERROR(INDEX('3_Intl_purchases_by_BEA'!$B$2:$B$74, MATCH($A4, '3_Intl_purchases_by_BEA'!$A$2:$A$74,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IFERROR(INDEX('3_Intl_purchases_by_BEA'!$B$2:$B$74, MATCH($A5, '3_Intl_purchases_by_BEA'!$A$2:$A$74,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IFERROR(INDEX('3_Intl_purchases_by_BEA'!$B$2:$B$74, MATCH($A6, '3_Intl_purchases_by_BEA'!$A$2:$A$74,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IFERROR(INDEX('3_Intl_purchases_by_BEA'!$B$2:$B$74, MATCH($A7, '3_Intl_purchases_by_BEA'!$A$2:$A$74,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IFERROR(INDEX('3_Intl_purchases_by_BEA'!$B$2:$B$74, MATCH($A8, '3_Intl_purchases_by_BEA'!$A$2:$A$74,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IFERROR(INDEX('3_Intl_purchases_by_BEA'!$B$2:$B$74, MATCH($A9, '3_Intl_purchases_by_BEA'!$A$2:$A$74,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IFERROR(INDEX('3_Intl_purchases_by_BEA'!$B$2:$B$74, MATCH($A10, '3_Intl_purchases_by_BEA'!$A$2:$A$74,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IFERROR(INDEX('3_Intl_purchases_by_BEA'!$B$2:$B$74, MATCH($A11, '3_Intl_purchases_by_BEA'!$A$2:$A$74,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IFERROR(INDEX('3_Intl_purchases_by_BEA'!$B$2:$B$74, MATCH($A12, '3_Intl_purchases_by_BEA'!$A$2:$A$74,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IFERROR(INDEX('3_Intl_purchases_by_BEA'!$B$2:$B$74, MATCH($A13, '3_Intl_purchases_by_BEA'!$A$2:$A$74,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IFERROR(INDEX('3_Intl_purchases_by_BEA'!$B$2:$B$74, MATCH($A14, '3_Intl_purchases_by_BEA'!$A$2:$A$74,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IFERROR(INDEX('3_Intl_purchases_by_BEA'!$B$2:$B$74, MATCH($A15, '3_Intl_purchases_by_BEA'!$A$2:$A$74,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IFERROR(INDEX('3_Intl_purchases_by_BEA'!$B$2:$B$74, MATCH($A16, '3_Intl_purchases_by_BEA'!$A$2:$A$74,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IFERROR(INDEX('3_Intl_purchases_by_BEA'!$B$2:$B$74, MATCH($A17, '3_Intl_purchases_by_BEA'!$A$2:$A$74,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IFERROR(INDEX('3_Intl_purchases_by_BEA'!$B$2:$B$74, MATCH($A18, '3_Intl_purchases_by_BEA'!$A$2:$A$74,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IFERROR(INDEX('3_Intl_purchases_by_BEA'!$B$2:$B$74, MATCH($A19, '3_Intl_purchases_by_BEA'!$A$2:$A$74,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IFERROR(INDEX('3_Intl_purchases_by_BEA'!$B$2:$B$74, MATCH($A20, '3_Intl_purchases_by_BEA'!$A$2:$A$74,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IFERROR(INDEX('3_Intl_purchases_by_BEA'!$B$2:$B$74, MATCH($A21, '3_Intl_purchases_by_BEA'!$A$2:$A$74,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IFERROR(INDEX('3_Intl_purchases_by_BEA'!$B$2:$B$74, MATCH($A22, '3_Intl_purchases_by_BEA'!$A$2:$A$74,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IFERROR(INDEX('3_Intl_purchases_by_BEA'!$B$2:$B$74, MATCH($A23, '3_Intl_purchases_by_BEA'!$A$2:$A$74,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IFERROR(INDEX('3_Intl_purchases_by_BEA'!$B$2:$B$74, MATCH($A24, '3_Intl_purchases_by_BEA'!$A$2:$A$74,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IFERROR(INDEX('3_Intl_purchases_by_BEA'!$B$2:$B$74, MATCH($A25, '3_Intl_purchases_by_BEA'!$A$2:$A$74,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IFERROR(INDEX('3_Intl_purchases_by_BEA'!$B$2:$B$74, MATCH($A26, '3_Intl_purchases_by_BEA'!$A$2:$A$74,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IFERROR(INDEX('3_Intl_purchases_by_BEA'!$B$2:$B$74, MATCH($A27, '3_Intl_purchases_by_BEA'!$A$2:$A$74,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IFERROR(INDEX('3_Intl_purchases_by_BEA'!$B$2:$B$74, MATCH($A28, '3_Intl_purchases_by_BEA'!$A$2:$A$74,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IFERROR(INDEX('3_Intl_purchases_by_BEA'!$B$2:$B$74, MATCH($A29, '3_Intl_purchases_by_BEA'!$A$2:$A$74,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IFERROR(INDEX('3_Intl_purchases_by_BEA'!$B$2:$B$74, MATCH($A30, '3_Intl_purchases_by_BEA'!$A$2:$A$74,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IFERROR(INDEX('3_Intl_purchases_by_BEA'!$B$2:$B$74, MATCH($A31, '3_Intl_purchases_by_BEA'!$A$2:$A$74,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IFERROR(INDEX('3_Intl_purchases_by_BEA'!$B$2:$B$74, MATCH($A32, '3_Intl_purchases_by_BEA'!$A$2:$A$74,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IFERROR(INDEX('3_Intl_purchases_by_BEA'!$B$2:$B$74, MATCH($A33, '3_Intl_purchases_by_BEA'!$A$2:$A$74,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IFERROR(INDEX('3_Intl_purchases_by_BEA'!$B$2:$B$74, MATCH($A34, '3_Intl_purchases_by_BEA'!$A$2:$A$74,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IFERROR(INDEX('3_Intl_purchases_by_BEA'!$B$2:$B$74, MATCH($A35, '3_Intl_purchases_by_BEA'!$A$2:$A$74,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IFERROR(INDEX('3_Intl_purchases_by_BEA'!$B$2:$B$74, MATCH($A36, '3_Intl_purchases_by_BEA'!$A$2:$A$74,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IFERROR(INDEX('3_Intl_purchases_by_BEA'!$B$2:$B$74, MATCH($A37, '3_Intl_purchases_by_BEA'!$A$2:$A$74,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IFERROR(INDEX('3_Intl_purchases_by_BEA'!$B$2:$B$74, MATCH($A38, '3_Intl_purchases_by_BEA'!$A$2:$A$74,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IFERROR(INDEX('3_Intl_purchases_by_BEA'!$B$2:$B$74, MATCH($A39, '3_Intl_purchases_by_BEA'!$A$2:$A$74,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IFERROR(INDEX('3_Intl_purchases_by_BEA'!$B$2:$B$74, MATCH($A40, '3_Intl_purchases_by_BEA'!$A$2:$A$74,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IFERROR(INDEX('3_Intl_purchases_by_BEA'!$B$2:$B$74, MATCH($A41, '3_Intl_purchases_by_BEA'!$A$2:$A$74,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IFERROR(INDEX('3_Intl_purchases_by_BEA'!$B$2:$B$74, MATCH($A42, '3_Intl_purchases_by_BEA'!$A$2:$A$74,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IFERROR(INDEX('3_Intl_purchases_by_BEA'!$B$2:$B$74, MATCH($A43, '3_Intl_purchases_by_BEA'!$A$2:$A$74,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IFERROR(INDEX('3_Intl_purchases_by_BEA'!$B$2:$B$74, MATCH($A44, '3_Intl_purchases_by_BEA'!$A$2:$A$74,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IFERROR(INDEX('3_Intl_purchases_by_BEA'!$B$2:$B$74, MATCH($A45, '3_Intl_purchases_by_BEA'!$A$2:$A$74,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IFERROR(INDEX('3_Intl_purchases_by_BEA'!$B$2:$B$74, MATCH($A46, '3_Intl_purchases_by_BEA'!$A$2:$A$74,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IFERROR(INDEX('3_Intl_purchases_by_BEA'!$B$2:$B$74, MATCH($A47, '3_Intl_purchases_by_BEA'!$A$2:$A$74,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IFERROR(INDEX('3_Intl_purchases_by_BEA'!$B$2:$B$74, MATCH($A48, '3_Intl_purchases_by_BEA'!$A$2:$A$74,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IFERROR(INDEX('3_Intl_purchases_by_BEA'!$B$2:$B$74, MATCH($A49, '3_Intl_purchases_by_BEA'!$A$2:$A$74,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IFERROR(INDEX('3_Intl_purchases_by_BEA'!$B$2:$B$74, MATCH($A50, '3_Intl_purchases_by_BEA'!$A$2:$A$74,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IFERROR(INDEX('3_Intl_purchases_by_BEA'!$B$2:$B$74, MATCH($A51, '3_Intl_purchases_by_BEA'!$A$2:$A$74,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IFERROR(INDEX('3_Intl_purchases_by_BEA'!$B$2:$B$74, MATCH($A52, '3_Intl_purchases_by_BEA'!$A$2:$A$74,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IFERROR(INDEX('3_Intl_purchases_by_BEA'!$B$2:$B$74, MATCH($A53, '3_Intl_purchases_by_BEA'!$A$2:$A$74,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IFERROR(INDEX('3_Intl_purchases_by_BEA'!$B$2:$B$74, MATCH($A54, '3_Intl_purchases_by_BEA'!$A$2:$A$74,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IFERROR(INDEX('3_Intl_purchases_by_BEA'!$B$2:$B$74, MATCH($A55, '3_Intl_purchases_by_BEA'!$A$2:$A$74,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IFERROR(INDEX('3_Intl_purchases_by_BEA'!$B$2:$B$74, MATCH($A56, '3_Intl_purchases_by_BEA'!$A$2:$A$74,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IFERROR(INDEX('3_Intl_purchases_by_BEA'!$B$2:$B$74, MATCH($A57, '3_Intl_purchases_by_BEA'!$A$2:$A$74,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IFERROR(INDEX('3_Intl_purchases_by_BEA'!$B$2:$B$74, MATCH($A58, '3_Intl_purchases_by_BEA'!$A$2:$A$74,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IFERROR(INDEX('3_Intl_purchases_by_BEA'!$B$2:$B$74, MATCH($A59, '3_Intl_purchases_by_BEA'!$A$2:$A$74,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IFERROR(INDEX('3_Intl_purchases_by_BEA'!$B$2:$B$74, MATCH($A60, '3_Intl_purchases_by_BEA'!$A$2:$A$74,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IFERROR(INDEX('3_Intl_purchases_by_BEA'!$B$2:$B$74, MATCH($A61, '3_Intl_purchases_by_BEA'!$A$2:$A$74,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IFERROR(INDEX('3_Intl_purchases_by_BEA'!$B$2:$B$74, MATCH($A62, '3_Intl_purchases_by_BEA'!$A$2:$A$74,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IFERROR(INDEX('3_Intl_purchases_by_BEA'!$B$2:$B$74, MATCH($A63, '3_Intl_purchases_by_BEA'!$A$2:$A$74,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IFERROR(INDEX('3_Intl_purchases_by_BEA'!$B$2:$B$74, MATCH($A64, '3_Intl_purchases_by_BEA'!$A$2:$A$74,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IFERROR(INDEX('3_Intl_purchases_by_BEA'!$B$2:$B$74, MATCH($A65, '3_Intl_purchases_by_BEA'!$A$2:$A$74,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IFERROR(INDEX('3_Intl_purchases_by_BEA'!$B$2:$B$74, MATCH($A66, '3_Intl_purchases_by_BEA'!$A$2:$A$74,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IFERROR(INDEX('3_Intl_purchases_by_BEA'!$B$2:$B$74, MATCH($A67, '3_Intl_purchases_by_BEA'!$A$2:$A$74,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IFERROR(INDEX('3_Intl_purchases_by_BEA'!$B$2:$B$74, MATCH($A68, '3_Intl_purchases_by_BEA'!$A$2:$A$74,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IFERROR(INDEX('3_Intl_purchases_by_BEA'!$B$2:$B$74, MATCH($A69, '3_Intl_purchases_by_BEA'!$A$2:$A$74,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IFERROR(INDEX('3_Intl_purchases_by_BEA'!$B$2:$B$74, MATCH($A70, '3_Intl_purchases_by_BEA'!$A$2:$A$74,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IFERROR(INDEX('3_Intl_purchases_by_BEA'!$B$2:$B$74, MATCH($A71, '3_Intl_purchases_by_BEA'!$A$2:$A$74,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IFERROR(INDEX('3_Intl_purchases_by_BEA'!$B$2:$B$74, MATCH($A72, '3_Intl_purchases_by_BEA'!$A$2:$A$74,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IFERROR(INDEX('3_Intl_purchases_by_BEA'!$B$2:$B$74, MATCH($A73, '3_Intl_purchases_by_BEA'!$A$2:$A$74,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IFERROR(INDEX('3_Intl_purchases_by_BEA'!$B$2:$B$74, MATCH($A74, '3_Intl_purchases_by_BEA'!$A$2:$A$74,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IFERROR(INDEX('3_Intl_purchases_by_BEA'!$B$2:$B$74, MATCH($A75, '3_Intl_purchases_by_BEA'!$A$2:$A$74,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IFERROR(INDEX('3_Intl_purchases_by_BEA'!$B$2:$B$74, MATCH($A76, '3_Intl_purchases_by_BEA'!$A$2:$A$74,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IFERROR(INDEX('3_Intl_purchases_by_BEA'!$B$2:$B$74, MATCH($A77, '3_Intl_purchases_by_BEA'!$A$2:$A$74,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IFERROR(INDEX('3_Intl_purchases_by_BEA'!$B$2:$B$74, MATCH($A78, '3_Intl_purchases_by_BEA'!$A$2:$A$74,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IFERROR(INDEX('3_Intl_purchases_by_BEA'!$B$2:$B$74, MATCH($A79, '3_Intl_purchases_by_BEA'!$A$2:$A$74,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IFERROR(INDEX('3_Intl_purchases_by_BEA'!$B$2:$B$74, MATCH($A80, '3_Intl_purchases_by_BEA'!$A$2:$A$74,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IFERROR(INDEX('3_Intl_purchases_by_BEA'!$B$2:$B$74, MATCH($A81, '3_Intl_purchases_by_BEA'!$A$2:$A$74,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SUMIFS('8_Calc_Intl_ISIC'!$E$3:$E$81, '8_Calc_Intl_ISIC'!$B$3:$B$81, $A85)</f>
      </c>
      <c r="C85" t="str">
        <f>B85</f>
      </c>
    </row>
    <row r="86">
      <c r="A86" t="s">
        <v>191</v>
      </c>
      <c r="B86" t="str">
        <f>SUMIFS('8_Calc_Intl_ISIC'!$E$3:$E$81, '8_Calc_Intl_ISIC'!$B$3:$B$81, $A86)</f>
      </c>
      <c r="C86" t="str">
        <f>B86</f>
      </c>
    </row>
    <row r="87">
      <c r="A87" t="s">
        <v>192</v>
      </c>
      <c r="B87" t="str">
        <f>SUMIFS('8_Calc_Intl_ISIC'!$E$3:$E$81, '8_Calc_Intl_ISIC'!$B$3:$B$81, $A87)</f>
      </c>
      <c r="C87" t="str">
        <f>B87</f>
      </c>
    </row>
    <row r="88">
      <c r="A88" t="s">
        <v>193</v>
      </c>
      <c r="B88" t="str">
        <f>SUMIFS('8_Calc_Intl_ISIC'!$E$3:$E$81, '8_Calc_Intl_ISIC'!$B$3:$B$81, $A88)</f>
      </c>
      <c r="C88" t="str">
        <f>B88</f>
      </c>
    </row>
    <row r="89">
      <c r="A89" t="s">
        <v>195</v>
      </c>
      <c r="B89" t="str">
        <f>SUMIFS('8_Calc_Intl_ISIC'!$E$3:$E$81, '8_Calc_Intl_ISIC'!$B$3:$B$81, $A89)</f>
      </c>
      <c r="C89" t="str">
        <f>B89</f>
      </c>
    </row>
    <row r="90">
      <c r="A90" t="s">
        <v>196</v>
      </c>
      <c r="B90" t="str">
        <f>SUMIFS('8_Calc_Intl_ISIC'!$E$3:$E$81, '8_Calc_Intl_ISIC'!$B$3:$B$81, $A90)</f>
      </c>
      <c r="C90" t="str">
        <f>B90</f>
      </c>
    </row>
    <row r="91">
      <c r="A91" t="s">
        <v>197</v>
      </c>
      <c r="B91" t="str">
        <f>SUMIFS('8_Calc_Intl_ISIC'!$E$3:$E$81, '8_Calc_Intl_ISIC'!$B$3:$B$81, $A91)</f>
      </c>
      <c r="C91" t="str">
        <f>B91</f>
      </c>
    </row>
    <row r="92">
      <c r="A92" t="s">
        <v>198</v>
      </c>
      <c r="B92" t="str">
        <f>SUMIFS('8_Calc_Intl_ISIC'!$E$3:$E$81, '8_Calc_Intl_ISIC'!$B$3:$B$81, $A92)</f>
      </c>
      <c r="C92" t="str">
        <f>B92</f>
      </c>
    </row>
    <row r="93">
      <c r="A93" t="s">
        <v>199</v>
      </c>
      <c r="B93" t="str">
        <f>SUMIFS('8_Calc_Intl_ISIC'!$E$3:$E$81, '8_Calc_Intl_ISIC'!$B$3:$B$81, $A93)</f>
      </c>
      <c r="C93" t="str">
        <f>B93</f>
      </c>
    </row>
    <row r="94">
      <c r="A94" t="s">
        <v>200</v>
      </c>
      <c r="B94" t="str">
        <f>SUMIFS('8_Calc_Intl_ISIC'!$E$3:$E$81, '8_Calc_Intl_ISIC'!$B$3:$B$81, $A94)</f>
      </c>
      <c r="C94" t="str">
        <f>B94</f>
      </c>
    </row>
    <row r="95">
      <c r="A95" t="s">
        <v>110</v>
      </c>
      <c r="B95" t="str">
        <f>SUMIFS('8_Calc_Intl_ISIC'!$E$3:$E$81, '8_Calc_Intl_ISIC'!$B$3:$B$81, $A95)</f>
      </c>
      <c r="C95" t="str">
        <f>B95</f>
      </c>
    </row>
    <row r="96">
      <c r="A96" t="s">
        <v>202</v>
      </c>
      <c r="B96" t="str">
        <f>SUMIFS('8_Calc_Intl_ISIC'!$E$3:$E$81, '8_Calc_Intl_ISIC'!$B$3:$B$81, $A96)</f>
      </c>
      <c r="C96" t="str">
        <f>B96</f>
      </c>
    </row>
    <row r="97">
      <c r="A97" t="s">
        <v>203</v>
      </c>
      <c r="B97" t="str">
        <f>SUMIFS('8_Calc_Intl_ISIC'!$E$3:$E$81, '8_Calc_Intl_ISIC'!$B$3:$B$81, $A97)</f>
      </c>
      <c r="C97" t="str">
        <f>B97</f>
      </c>
    </row>
    <row r="98">
      <c r="A98" t="s">
        <v>204</v>
      </c>
      <c r="B98" t="str">
        <f>SUMIFS('8_Calc_Intl_ISIC'!$E$3:$E$81, '8_Calc_Intl_ISIC'!$B$3:$B$81, $A98)</f>
      </c>
      <c r="C98" t="str">
        <f>B98</f>
      </c>
    </row>
    <row r="99">
      <c r="A99" t="s">
        <v>205</v>
      </c>
      <c r="B99" t="str">
        <f>SUMIFS('8_Calc_Intl_ISIC'!$E$3:$E$81, '8_Calc_Intl_ISIC'!$B$3:$B$81, $A99)</f>
      </c>
      <c r="C99" t="str">
        <f>B99</f>
      </c>
    </row>
    <row r="100">
      <c r="A100" t="s">
        <v>206</v>
      </c>
      <c r="B100" t="str">
        <f>SUMIFS('8_Calc_Intl_ISIC'!$E$3:$E$81, '8_Calc_Intl_ISIC'!$B$3:$B$81, $A100)</f>
      </c>
      <c r="C100" t="str">
        <f>B100</f>
      </c>
    </row>
    <row r="101">
      <c r="A101" t="s">
        <v>207</v>
      </c>
      <c r="B101" t="str">
        <f>SUMIFS('8_Calc_Intl_ISIC'!$E$3:$E$81, '8_Calc_Intl_ISIC'!$B$3:$B$81, $A101)</f>
      </c>
      <c r="C101" t="str">
        <f>B101</f>
      </c>
    </row>
    <row r="102">
      <c r="A102" t="s">
        <v>208</v>
      </c>
      <c r="B102" t="str">
        <f>SUMIFS('8_Calc_Intl_ISIC'!$E$3:$E$81, '8_Calc_Intl_ISIC'!$B$3:$B$81, $A102)</f>
      </c>
      <c r="C102" t="str">
        <f>B102</f>
      </c>
    </row>
    <row r="103">
      <c r="A103" t="s">
        <v>209</v>
      </c>
      <c r="B103" t="str">
        <f>SUMIFS('8_Calc_Intl_ISIC'!$E$3:$E$81, '8_Calc_Intl_ISIC'!$B$3:$B$81, $A103)</f>
      </c>
      <c r="C103" t="str">
        <f>B103</f>
      </c>
    </row>
    <row r="104">
      <c r="A104" t="s">
        <v>210</v>
      </c>
      <c r="B104" t="str">
        <f>SUMIFS('8_Calc_Intl_ISIC'!$E$3:$E$81, '8_Calc_Intl_ISIC'!$B$3:$B$81, $A104)</f>
      </c>
      <c r="C104" t="str">
        <f>B104</f>
      </c>
    </row>
    <row r="105">
      <c r="A105" t="s">
        <v>211</v>
      </c>
      <c r="B105" t="str">
        <f>SUMIFS('8_Calc_Intl_ISIC'!$E$3:$E$81, '8_Calc_Intl_ISIC'!$B$3:$B$81, $A105)</f>
      </c>
      <c r="C105" t="str">
        <f>B105</f>
      </c>
    </row>
    <row r="106">
      <c r="A106" t="s">
        <v>212</v>
      </c>
      <c r="B106" t="str">
        <f>SUMIFS('8_Calc_Intl_ISIC'!$E$3:$E$81, '8_Calc_Intl_ISIC'!$B$3:$B$81, $A106)</f>
      </c>
      <c r="C106" t="str">
        <f>B106</f>
      </c>
    </row>
    <row r="107">
      <c r="A107" t="s">
        <v>214</v>
      </c>
      <c r="B107" t="str">
        <f>SUMIFS('8_Calc_Intl_ISIC'!$E$3:$E$81, '8_Calc_Intl_ISIC'!$B$3:$B$81, $A107)</f>
      </c>
      <c r="C107" t="str">
        <f>B107</f>
      </c>
    </row>
    <row r="108">
      <c r="A108" t="s">
        <v>215</v>
      </c>
      <c r="B108" t="str">
        <f>SUMIFS('8_Calc_Intl_ISIC'!$E$3:$E$81, '8_Calc_Intl_ISIC'!$B$3:$B$81, $A108)</f>
      </c>
      <c r="C108" t="str">
        <f>B108</f>
      </c>
    </row>
    <row r="109">
      <c r="A109" t="s">
        <v>216</v>
      </c>
      <c r="B109" t="str">
        <f>SUMIFS('8_Calc_Intl_ISIC'!$E$3:$E$81, '8_Calc_Intl_ISIC'!$B$3:$B$81,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IFERROR(INDEX('5_Total_purchases_by_BEA'!$B$2:$B$74, MATCH($A3, '5_Total_purchases_by_BEA'!$A$2:$A$74,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IFERROR(INDEX('5_Total_purchases_by_BEA'!$B$2:$B$74, MATCH($A4, '5_Total_purchases_by_BEA'!$A$2:$A$74,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IFERROR(INDEX('5_Total_purchases_by_BEA'!$B$2:$B$74, MATCH($A5, '5_Total_purchases_by_BEA'!$A$2:$A$74,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IFERROR(INDEX('5_Total_purchases_by_BEA'!$B$2:$B$74, MATCH($A6, '5_Total_purchases_by_BEA'!$A$2:$A$74,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IFERROR(INDEX('5_Total_purchases_by_BEA'!$B$2:$B$74, MATCH($A7, '5_Total_purchases_by_BEA'!$A$2:$A$74,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IFERROR(INDEX('5_Total_purchases_by_BEA'!$B$2:$B$74, MATCH($A8, '5_Total_purchases_by_BEA'!$A$2:$A$74,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IFERROR(INDEX('5_Total_purchases_by_BEA'!$B$2:$B$74, MATCH($A9, '5_Total_purchases_by_BEA'!$A$2:$A$74,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IFERROR(INDEX('5_Total_purchases_by_BEA'!$B$2:$B$74, MATCH($A10, '5_Total_purchases_by_BEA'!$A$2:$A$74,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IFERROR(INDEX('5_Total_purchases_by_BEA'!$B$2:$B$74, MATCH($A11, '5_Total_purchases_by_BEA'!$A$2:$A$74,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IFERROR(INDEX('5_Total_purchases_by_BEA'!$B$2:$B$74, MATCH($A12, '5_Total_purchases_by_BEA'!$A$2:$A$74,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IFERROR(INDEX('5_Total_purchases_by_BEA'!$B$2:$B$74, MATCH($A13, '5_Total_purchases_by_BEA'!$A$2:$A$74,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IFERROR(INDEX('5_Total_purchases_by_BEA'!$B$2:$B$74, MATCH($A14, '5_Total_purchases_by_BEA'!$A$2:$A$74,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IFERROR(INDEX('5_Total_purchases_by_BEA'!$B$2:$B$74, MATCH($A15, '5_Total_purchases_by_BEA'!$A$2:$A$74,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IFERROR(INDEX('5_Total_purchases_by_BEA'!$B$2:$B$74, MATCH($A16, '5_Total_purchases_by_BEA'!$A$2:$A$74,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IFERROR(INDEX('5_Total_purchases_by_BEA'!$B$2:$B$74, MATCH($A17, '5_Total_purchases_by_BEA'!$A$2:$A$74,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IFERROR(INDEX('5_Total_purchases_by_BEA'!$B$2:$B$74, MATCH($A18, '5_Total_purchases_by_BEA'!$A$2:$A$74,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IFERROR(INDEX('5_Total_purchases_by_BEA'!$B$2:$B$74, MATCH($A19, '5_Total_purchases_by_BEA'!$A$2:$A$74,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IFERROR(INDEX('5_Total_purchases_by_BEA'!$B$2:$B$74, MATCH($A20, '5_Total_purchases_by_BEA'!$A$2:$A$74,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IFERROR(INDEX('5_Total_purchases_by_BEA'!$B$2:$B$74, MATCH($A21, '5_Total_purchases_by_BEA'!$A$2:$A$74,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IFERROR(INDEX('5_Total_purchases_by_BEA'!$B$2:$B$74, MATCH($A22, '5_Total_purchases_by_BEA'!$A$2:$A$74,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IFERROR(INDEX('5_Total_purchases_by_BEA'!$B$2:$B$74, MATCH($A23, '5_Total_purchases_by_BEA'!$A$2:$A$74,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IFERROR(INDEX('5_Total_purchases_by_BEA'!$B$2:$B$74, MATCH($A24, '5_Total_purchases_by_BEA'!$A$2:$A$74,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IFERROR(INDEX('5_Total_purchases_by_BEA'!$B$2:$B$74, MATCH($A25, '5_Total_purchases_by_BEA'!$A$2:$A$74,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IFERROR(INDEX('5_Total_purchases_by_BEA'!$B$2:$B$74, MATCH($A26, '5_Total_purchases_by_BEA'!$A$2:$A$74,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IFERROR(INDEX('5_Total_purchases_by_BEA'!$B$2:$B$74, MATCH($A27, '5_Total_purchases_by_BEA'!$A$2:$A$74,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IFERROR(INDEX('5_Total_purchases_by_BEA'!$B$2:$B$74, MATCH($A28, '5_Total_purchases_by_BEA'!$A$2:$A$74,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IFERROR(INDEX('5_Total_purchases_by_BEA'!$B$2:$B$74, MATCH($A29, '5_Total_purchases_by_BEA'!$A$2:$A$74,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IFERROR(INDEX('5_Total_purchases_by_BEA'!$B$2:$B$74, MATCH($A30, '5_Total_purchases_by_BEA'!$A$2:$A$74,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IFERROR(INDEX('5_Total_purchases_by_BEA'!$B$2:$B$74, MATCH($A31, '5_Total_purchases_by_BEA'!$A$2:$A$74,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IFERROR(INDEX('5_Total_purchases_by_BEA'!$B$2:$B$74, MATCH($A32, '5_Total_purchases_by_BEA'!$A$2:$A$74,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IFERROR(INDEX('5_Total_purchases_by_BEA'!$B$2:$B$74, MATCH($A33, '5_Total_purchases_by_BEA'!$A$2:$A$74,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IFERROR(INDEX('5_Total_purchases_by_BEA'!$B$2:$B$74, MATCH($A34, '5_Total_purchases_by_BEA'!$A$2:$A$74,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IFERROR(INDEX('5_Total_purchases_by_BEA'!$B$2:$B$74, MATCH($A35, '5_Total_purchases_by_BEA'!$A$2:$A$74,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IFERROR(INDEX('5_Total_purchases_by_BEA'!$B$2:$B$74, MATCH($A36, '5_Total_purchases_by_BEA'!$A$2:$A$74,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IFERROR(INDEX('5_Total_purchases_by_BEA'!$B$2:$B$74, MATCH($A37, '5_Total_purchases_by_BEA'!$A$2:$A$74,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IFERROR(INDEX('5_Total_purchases_by_BEA'!$B$2:$B$74, MATCH($A38, '5_Total_purchases_by_BEA'!$A$2:$A$74,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IFERROR(INDEX('5_Total_purchases_by_BEA'!$B$2:$B$74, MATCH($A39, '5_Total_purchases_by_BEA'!$A$2:$A$74,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IFERROR(INDEX('5_Total_purchases_by_BEA'!$B$2:$B$74, MATCH($A40, '5_Total_purchases_by_BEA'!$A$2:$A$74,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IFERROR(INDEX('5_Total_purchases_by_BEA'!$B$2:$B$74, MATCH($A41, '5_Total_purchases_by_BEA'!$A$2:$A$74,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IFERROR(INDEX('5_Total_purchases_by_BEA'!$B$2:$B$74, MATCH($A42, '5_Total_purchases_by_BEA'!$A$2:$A$74,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IFERROR(INDEX('5_Total_purchases_by_BEA'!$B$2:$B$74, MATCH($A43, '5_Total_purchases_by_BEA'!$A$2:$A$74,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IFERROR(INDEX('5_Total_purchases_by_BEA'!$B$2:$B$74, MATCH($A44, '5_Total_purchases_by_BEA'!$A$2:$A$74,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IFERROR(INDEX('5_Total_purchases_by_BEA'!$B$2:$B$74, MATCH($A45, '5_Total_purchases_by_BEA'!$A$2:$A$74,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IFERROR(INDEX('5_Total_purchases_by_BEA'!$B$2:$B$74, MATCH($A46, '5_Total_purchases_by_BEA'!$A$2:$A$74,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IFERROR(INDEX('5_Total_purchases_by_BEA'!$B$2:$B$74, MATCH($A47, '5_Total_purchases_by_BEA'!$A$2:$A$74,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IFERROR(INDEX('5_Total_purchases_by_BEA'!$B$2:$B$74, MATCH($A48, '5_Total_purchases_by_BEA'!$A$2:$A$74,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IFERROR(INDEX('5_Total_purchases_by_BEA'!$B$2:$B$74, MATCH($A49, '5_Total_purchases_by_BEA'!$A$2:$A$74,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IFERROR(INDEX('5_Total_purchases_by_BEA'!$B$2:$B$74, MATCH($A50, '5_Total_purchases_by_BEA'!$A$2:$A$74,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IFERROR(INDEX('5_Total_purchases_by_BEA'!$B$2:$B$74, MATCH($A51, '5_Total_purchases_by_BEA'!$A$2:$A$74,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IFERROR(INDEX('5_Total_purchases_by_BEA'!$B$2:$B$74, MATCH($A52, '5_Total_purchases_by_BEA'!$A$2:$A$74,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IFERROR(INDEX('5_Total_purchases_by_BEA'!$B$2:$B$74, MATCH($A53, '5_Total_purchases_by_BEA'!$A$2:$A$74,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IFERROR(INDEX('5_Total_purchases_by_BEA'!$B$2:$B$74, MATCH($A54, '5_Total_purchases_by_BEA'!$A$2:$A$74,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IFERROR(INDEX('5_Total_purchases_by_BEA'!$B$2:$B$74, MATCH($A55, '5_Total_purchases_by_BEA'!$A$2:$A$74,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IFERROR(INDEX('5_Total_purchases_by_BEA'!$B$2:$B$74, MATCH($A56, '5_Total_purchases_by_BEA'!$A$2:$A$74,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IFERROR(INDEX('5_Total_purchases_by_BEA'!$B$2:$B$74, MATCH($A57, '5_Total_purchases_by_BEA'!$A$2:$A$74,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IFERROR(INDEX('5_Total_purchases_by_BEA'!$B$2:$B$74, MATCH($A58, '5_Total_purchases_by_BEA'!$A$2:$A$74,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IFERROR(INDEX('5_Total_purchases_by_BEA'!$B$2:$B$74, MATCH($A59, '5_Total_purchases_by_BEA'!$A$2:$A$74,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IFERROR(INDEX('5_Total_purchases_by_BEA'!$B$2:$B$74, MATCH($A60, '5_Total_purchases_by_BEA'!$A$2:$A$74,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IFERROR(INDEX('5_Total_purchases_by_BEA'!$B$2:$B$74, MATCH($A61, '5_Total_purchases_by_BEA'!$A$2:$A$74,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IFERROR(INDEX('5_Total_purchases_by_BEA'!$B$2:$B$74, MATCH($A62, '5_Total_purchases_by_BEA'!$A$2:$A$74,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IFERROR(INDEX('5_Total_purchases_by_BEA'!$B$2:$B$74, MATCH($A63, '5_Total_purchases_by_BEA'!$A$2:$A$74,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IFERROR(INDEX('5_Total_purchases_by_BEA'!$B$2:$B$74, MATCH($A64, '5_Total_purchases_by_BEA'!$A$2:$A$74,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IFERROR(INDEX('5_Total_purchases_by_BEA'!$B$2:$B$74, MATCH($A65, '5_Total_purchases_by_BEA'!$A$2:$A$74,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IFERROR(INDEX('5_Total_purchases_by_BEA'!$B$2:$B$74, MATCH($A66, '5_Total_purchases_by_BEA'!$A$2:$A$74,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IFERROR(INDEX('5_Total_purchases_by_BEA'!$B$2:$B$74, MATCH($A67, '5_Total_purchases_by_BEA'!$A$2:$A$74,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IFERROR(INDEX('5_Total_purchases_by_BEA'!$B$2:$B$74, MATCH($A68, '5_Total_purchases_by_BEA'!$A$2:$A$74,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IFERROR(INDEX('5_Total_purchases_by_BEA'!$B$2:$B$74, MATCH($A69, '5_Total_purchases_by_BEA'!$A$2:$A$74,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IFERROR(INDEX('5_Total_purchases_by_BEA'!$B$2:$B$74, MATCH($A70, '5_Total_purchases_by_BEA'!$A$2:$A$74,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IFERROR(INDEX('5_Total_purchases_by_BEA'!$B$2:$B$74, MATCH($A71, '5_Total_purchases_by_BEA'!$A$2:$A$74,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IFERROR(INDEX('5_Total_purchases_by_BEA'!$B$2:$B$74, MATCH($A72, '5_Total_purchases_by_BEA'!$A$2:$A$74,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IFERROR(INDEX('5_Total_purchases_by_BEA'!$B$2:$B$74, MATCH($A73, '5_Total_purchases_by_BEA'!$A$2:$A$74,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IFERROR(INDEX('5_Total_purchases_by_BEA'!$B$2:$B$74, MATCH($A74, '5_Total_purchases_by_BEA'!$A$2:$A$74,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IFERROR(INDEX('5_Total_purchases_by_BEA'!$B$2:$B$74, MATCH($A75, '5_Total_purchases_by_BEA'!$A$2:$A$74,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IFERROR(INDEX('5_Total_purchases_by_BEA'!$B$2:$B$74, MATCH($A76, '5_Total_purchases_by_BEA'!$A$2:$A$74,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IFERROR(INDEX('5_Total_purchases_by_BEA'!$B$2:$B$74, MATCH($A77, '5_Total_purchases_by_BEA'!$A$2:$A$74,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IFERROR(INDEX('5_Total_purchases_by_BEA'!$B$2:$B$74, MATCH($A78, '5_Total_purchases_by_BEA'!$A$2:$A$74,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IFERROR(INDEX('5_Total_purchases_by_BEA'!$B$2:$B$74, MATCH($A79, '5_Total_purchases_by_BEA'!$A$2:$A$74,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IFERROR(INDEX('5_Total_purchases_by_BEA'!$B$2:$B$74, MATCH($A80, '5_Total_purchases_by_BEA'!$A$2:$A$74,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IFERROR(INDEX('5_Total_purchases_by_BEA'!$B$2:$B$74, MATCH($A81, '5_Total_purchases_by_BEA'!$A$2:$A$74,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SUMIFS('9_Calc_Total_ISIC'!$E$3:$E$81, '9_Calc_Total_ISIC'!$B$3:$B$81, $A85)</f>
      </c>
      <c r="C85" t="str">
        <f>B85</f>
      </c>
    </row>
    <row r="86">
      <c r="A86" t="s">
        <v>191</v>
      </c>
      <c r="B86" t="str">
        <f>SUMIFS('9_Calc_Total_ISIC'!$E$3:$E$81, '9_Calc_Total_ISIC'!$B$3:$B$81, $A86)</f>
      </c>
      <c r="C86" t="str">
        <f>B86</f>
      </c>
    </row>
    <row r="87">
      <c r="A87" t="s">
        <v>192</v>
      </c>
      <c r="B87" t="str">
        <f>SUMIFS('9_Calc_Total_ISIC'!$E$3:$E$81, '9_Calc_Total_ISIC'!$B$3:$B$81, $A87)</f>
      </c>
      <c r="C87" t="str">
        <f>B87</f>
      </c>
    </row>
    <row r="88">
      <c r="A88" t="s">
        <v>193</v>
      </c>
      <c r="B88" t="str">
        <f>SUMIFS('9_Calc_Total_ISIC'!$E$3:$E$81, '9_Calc_Total_ISIC'!$B$3:$B$81, $A88)</f>
      </c>
      <c r="C88" t="str">
        <f>B88</f>
      </c>
    </row>
    <row r="89">
      <c r="A89" t="s">
        <v>195</v>
      </c>
      <c r="B89" t="str">
        <f>SUMIFS('9_Calc_Total_ISIC'!$E$3:$E$81, '9_Calc_Total_ISIC'!$B$3:$B$81, $A89)</f>
      </c>
      <c r="C89" t="str">
        <f>B89</f>
      </c>
    </row>
    <row r="90">
      <c r="A90" t="s">
        <v>196</v>
      </c>
      <c r="B90" t="str">
        <f>SUMIFS('9_Calc_Total_ISIC'!$E$3:$E$81, '9_Calc_Total_ISIC'!$B$3:$B$81, $A90)</f>
      </c>
      <c r="C90" t="str">
        <f>B90</f>
      </c>
    </row>
    <row r="91">
      <c r="A91" t="s">
        <v>197</v>
      </c>
      <c r="B91" t="str">
        <f>SUMIFS('9_Calc_Total_ISIC'!$E$3:$E$81, '9_Calc_Total_ISIC'!$B$3:$B$81, $A91)</f>
      </c>
      <c r="C91" t="str">
        <f>B91</f>
      </c>
    </row>
    <row r="92">
      <c r="A92" t="s">
        <v>198</v>
      </c>
      <c r="B92" t="str">
        <f>SUMIFS('9_Calc_Total_ISIC'!$E$3:$E$81, '9_Calc_Total_ISIC'!$B$3:$B$81, $A92)</f>
      </c>
      <c r="C92" t="str">
        <f>B92</f>
      </c>
    </row>
    <row r="93">
      <c r="A93" t="s">
        <v>199</v>
      </c>
      <c r="B93" t="str">
        <f>SUMIFS('9_Calc_Total_ISIC'!$E$3:$E$81, '9_Calc_Total_ISIC'!$B$3:$B$81, $A93)</f>
      </c>
      <c r="C93" t="str">
        <f>B93</f>
      </c>
    </row>
    <row r="94">
      <c r="A94" t="s">
        <v>200</v>
      </c>
      <c r="B94" t="str">
        <f>SUMIFS('9_Calc_Total_ISIC'!$E$3:$E$81, '9_Calc_Total_ISIC'!$B$3:$B$81, $A94)</f>
      </c>
      <c r="C94" t="str">
        <f>B94</f>
      </c>
    </row>
    <row r="95">
      <c r="A95" t="s">
        <v>110</v>
      </c>
      <c r="B95" t="str">
        <f>SUMIFS('9_Calc_Total_ISIC'!$E$3:$E$81, '9_Calc_Total_ISIC'!$B$3:$B$81, $A95)</f>
      </c>
      <c r="C95" t="str">
        <f>B95</f>
      </c>
    </row>
    <row r="96">
      <c r="A96" t="s">
        <v>202</v>
      </c>
      <c r="B96" t="str">
        <f>SUMIFS('9_Calc_Total_ISIC'!$E$3:$E$81, '9_Calc_Total_ISIC'!$B$3:$B$81, $A96)</f>
      </c>
      <c r="C96" t="str">
        <f>B96</f>
      </c>
    </row>
    <row r="97">
      <c r="A97" t="s">
        <v>203</v>
      </c>
      <c r="B97" t="str">
        <f>SUMIFS('9_Calc_Total_ISIC'!$E$3:$E$81, '9_Calc_Total_ISIC'!$B$3:$B$81, $A97)</f>
      </c>
      <c r="C97" t="str">
        <f>B97</f>
      </c>
    </row>
    <row r="98">
      <c r="A98" t="s">
        <v>204</v>
      </c>
      <c r="B98" t="str">
        <f>SUMIFS('9_Calc_Total_ISIC'!$E$3:$E$81, '9_Calc_Total_ISIC'!$B$3:$B$81, $A98)</f>
      </c>
      <c r="C98" t="str">
        <f>B98</f>
      </c>
    </row>
    <row r="99">
      <c r="A99" t="s">
        <v>205</v>
      </c>
      <c r="B99" t="str">
        <f>SUMIFS('9_Calc_Total_ISIC'!$E$3:$E$81, '9_Calc_Total_ISIC'!$B$3:$B$81, $A99)</f>
      </c>
      <c r="C99" t="str">
        <f>B99</f>
      </c>
    </row>
    <row r="100">
      <c r="A100" t="s">
        <v>206</v>
      </c>
      <c r="B100" t="str">
        <f>SUMIFS('9_Calc_Total_ISIC'!$E$3:$E$81, '9_Calc_Total_ISIC'!$B$3:$B$81, $A100)</f>
      </c>
      <c r="C100" t="str">
        <f>B100</f>
      </c>
    </row>
    <row r="101">
      <c r="A101" t="s">
        <v>207</v>
      </c>
      <c r="B101" t="str">
        <f>SUMIFS('9_Calc_Total_ISIC'!$E$3:$E$81, '9_Calc_Total_ISIC'!$B$3:$B$81, $A101)</f>
      </c>
      <c r="C101" t="str">
        <f>B101</f>
      </c>
    </row>
    <row r="102">
      <c r="A102" t="s">
        <v>208</v>
      </c>
      <c r="B102" t="str">
        <f>SUMIFS('9_Calc_Total_ISIC'!$E$3:$E$81, '9_Calc_Total_ISIC'!$B$3:$B$81, $A102)</f>
      </c>
      <c r="C102" t="str">
        <f>B102</f>
      </c>
    </row>
    <row r="103">
      <c r="A103" t="s">
        <v>209</v>
      </c>
      <c r="B103" t="str">
        <f>SUMIFS('9_Calc_Total_ISIC'!$E$3:$E$81, '9_Calc_Total_ISIC'!$B$3:$B$81, $A103)</f>
      </c>
      <c r="C103" t="str">
        <f>B103</f>
      </c>
    </row>
    <row r="104">
      <c r="A104" t="s">
        <v>210</v>
      </c>
      <c r="B104" t="str">
        <f>SUMIFS('9_Calc_Total_ISIC'!$E$3:$E$81, '9_Calc_Total_ISIC'!$B$3:$B$81, $A104)</f>
      </c>
      <c r="C104" t="str">
        <f>B104</f>
      </c>
    </row>
    <row r="105">
      <c r="A105" t="s">
        <v>211</v>
      </c>
      <c r="B105" t="str">
        <f>SUMIFS('9_Calc_Total_ISIC'!$E$3:$E$81, '9_Calc_Total_ISIC'!$B$3:$B$81, $A105)</f>
      </c>
      <c r="C105" t="str">
        <f>B105</f>
      </c>
    </row>
    <row r="106">
      <c r="A106" t="s">
        <v>212</v>
      </c>
      <c r="B106" t="str">
        <f>SUMIFS('9_Calc_Total_ISIC'!$E$3:$E$81, '9_Calc_Total_ISIC'!$B$3:$B$81, $A106)</f>
      </c>
      <c r="C106" t="str">
        <f>B106</f>
      </c>
    </row>
    <row r="107">
      <c r="A107" t="s">
        <v>214</v>
      </c>
      <c r="B107" t="str">
        <f>SUMIFS('9_Calc_Total_ISIC'!$E$3:$E$81, '9_Calc_Total_ISIC'!$B$3:$B$81, $A107)</f>
      </c>
      <c r="C107" t="str">
        <f>B107</f>
      </c>
    </row>
    <row r="108">
      <c r="A108" t="s">
        <v>215</v>
      </c>
      <c r="B108" t="str">
        <f>SUMIFS('9_Calc_Total_ISIC'!$E$3:$E$81, '9_Calc_Total_ISIC'!$B$3:$B$81, $A108)</f>
      </c>
      <c r="C108" t="str">
        <f>B108</f>
      </c>
    </row>
    <row r="109">
      <c r="A109" t="s">
        <v>216</v>
      </c>
      <c r="B109" t="str">
        <f>SUMIFS('9_Calc_Total_ISIC'!$E$3:$E$81, '9_Calc_Total_ISIC'!$B$3:$B$81,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t="s">
        <v>582</v>
      </c>
    </row>
    <row r="2">
      <c r="A2" t="s">
        <v>188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</row>
    <row r="3">
      <c r="A3" t="s">
        <v>190</v>
      </c>
      <c r="B3" t="str">
        <f>IFERROR(INDEX('6_Calc_Gov_ISIC'!$C$85:$C$109, MATCH($A3, '6_Calc_Gov_ISIC'!$A$85:$A$109, 0)), 0)</f>
      </c>
      <c r="C3" t="str">
        <f>IFERROR(INDEX('7_Calc_HH_ISIC'!$C$85:$C$109, MATCH($A3, '7_Calc_HH_ISIC'!$A$85:$A$109, 0)), 0)</f>
      </c>
      <c r="D3" t="str">
        <f>IFERROR(INDEX('8_Calc_Intl_ISIC'!$C$85:$C$109, MATCH($A3, '8_Calc_Intl_ISIC'!$A$85:$A$109, 0)), 0)</f>
      </c>
      <c r="E3" t="str">
        <f>IFERROR(INDEX('9_Calc_Total_ISIC'!$C$85:$C$109, MATCH($A3, '9_Calc_Total_ISIC'!$A$85:$A$109, 0)), 0)</f>
      </c>
      <c r="F3" t="str">
        <f>MAX(E3, Keys!$C$5)</f>
      </c>
      <c r="G3" t="str">
        <f>B3/F3</f>
      </c>
      <c r="H3" t="str">
        <f>C3/F3</f>
      </c>
      <c r="I3" t="str">
        <f>D3/F3</f>
      </c>
      <c r="J3" t="str">
        <f>MAX(0, 1-G3-H3-I3)</f>
      </c>
    </row>
    <row r="4">
      <c r="A4" t="s">
        <v>191</v>
      </c>
      <c r="B4" t="str">
        <f>IFERROR(INDEX('6_Calc_Gov_ISIC'!$C$85:$C$109, MATCH($A4, '6_Calc_Gov_ISIC'!$A$85:$A$109, 0)), 0)</f>
      </c>
      <c r="C4" t="str">
        <f>IFERROR(INDEX('7_Calc_HH_ISIC'!$C$85:$C$109, MATCH($A4, '7_Calc_HH_ISIC'!$A$85:$A$109, 0)), 0)</f>
      </c>
      <c r="D4" t="str">
        <f>IFERROR(INDEX('8_Calc_Intl_ISIC'!$C$85:$C$109, MATCH($A4, '8_Calc_Intl_ISIC'!$A$85:$A$109, 0)), 0)</f>
      </c>
      <c r="E4" t="str">
        <f>IFERROR(INDEX('9_Calc_Total_ISIC'!$C$85:$C$109, MATCH($A4, '9_Calc_Total_ISIC'!$A$85:$A$109, 0)), 0)</f>
      </c>
      <c r="F4" t="str">
        <f>MAX(E4, Keys!$C$5)</f>
      </c>
      <c r="G4" t="str">
        <f>B4/F4</f>
      </c>
      <c r="H4" t="str">
        <f>C4/F4</f>
      </c>
      <c r="I4" t="str">
        <f>D4/F4</f>
      </c>
      <c r="J4" t="str">
        <f>MAX(0, 1-G4-H4-I4)</f>
      </c>
    </row>
    <row r="5">
      <c r="A5" t="s">
        <v>192</v>
      </c>
      <c r="B5" t="str">
        <f>IFERROR(INDEX('6_Calc_Gov_ISIC'!$C$85:$C$109, MATCH($A5, '6_Calc_Gov_ISIC'!$A$85:$A$109, 0)), 0)</f>
      </c>
      <c r="C5" t="str">
        <f>IFERROR(INDEX('7_Calc_HH_ISIC'!$C$85:$C$109, MATCH($A5, '7_Calc_HH_ISIC'!$A$85:$A$109, 0)), 0)</f>
      </c>
      <c r="D5" t="str">
        <f>IFERROR(INDEX('8_Calc_Intl_ISIC'!$C$85:$C$109, MATCH($A5, '8_Calc_Intl_ISIC'!$A$85:$A$109, 0)), 0)</f>
      </c>
      <c r="E5" t="str">
        <f>IFERROR(INDEX('9_Calc_Total_ISIC'!$C$85:$C$109, MATCH($A5, '9_Calc_Total_ISIC'!$A$85:$A$109, 0)), 0)</f>
      </c>
      <c r="F5" t="str">
        <f>MAX(E5, Keys!$C$5)</f>
      </c>
      <c r="G5" t="str">
        <f>B5/F5</f>
      </c>
      <c r="H5" t="str">
        <f>C5/F5</f>
      </c>
      <c r="I5" t="str">
        <f>D5/F5</f>
      </c>
      <c r="J5" t="str">
        <f>MAX(0, 1-G5-H5-I5)</f>
      </c>
    </row>
    <row r="6">
      <c r="A6" t="s">
        <v>193</v>
      </c>
      <c r="B6" t="str">
        <f>IFERROR(INDEX('6_Calc_Gov_ISIC'!$C$85:$C$109, MATCH($A6, '6_Calc_Gov_ISIC'!$A$85:$A$109, 0)), 0)</f>
      </c>
      <c r="C6" t="str">
        <f>IFERROR(INDEX('7_Calc_HH_ISIC'!$C$85:$C$109, MATCH($A6, '7_Calc_HH_ISIC'!$A$85:$A$109, 0)), 0)</f>
      </c>
      <c r="D6" t="str">
        <f>IFERROR(INDEX('8_Calc_Intl_ISIC'!$C$85:$C$109, MATCH($A6, '8_Calc_Intl_ISIC'!$A$85:$A$109, 0)), 0)</f>
      </c>
      <c r="E6" t="str">
        <f>IFERROR(INDEX('9_Calc_Total_ISIC'!$C$85:$C$109, MATCH($A6, '9_Calc_Total_ISIC'!$A$85:$A$109, 0)), 0)</f>
      </c>
      <c r="F6" t="str">
        <f>MAX(E6, Keys!$C$5)</f>
      </c>
      <c r="G6" t="str">
        <f>B6/F6</f>
      </c>
      <c r="H6" t="str">
        <f>C6/F6</f>
      </c>
      <c r="I6" t="str">
        <f>D6/F6</f>
      </c>
      <c r="J6" t="str">
        <f>MAX(0, 1-G6-H6-I6)</f>
      </c>
    </row>
    <row r="7">
      <c r="A7" t="s">
        <v>195</v>
      </c>
      <c r="B7" t="str">
        <f>IFERROR(INDEX('6_Calc_Gov_ISIC'!$C$85:$C$109, MATCH($A7, '6_Calc_Gov_ISIC'!$A$85:$A$109, 0)), 0)</f>
      </c>
      <c r="C7" t="str">
        <f>IFERROR(INDEX('7_Calc_HH_ISIC'!$C$85:$C$109, MATCH($A7, '7_Calc_HH_ISIC'!$A$85:$A$109, 0)), 0)</f>
      </c>
      <c r="D7" t="str">
        <f>IFERROR(INDEX('8_Calc_Intl_ISIC'!$C$85:$C$109, MATCH($A7, '8_Calc_Intl_ISIC'!$A$85:$A$109, 0)), 0)</f>
      </c>
      <c r="E7" t="str">
        <f>IFERROR(INDEX('9_Calc_Total_ISIC'!$C$85:$C$109, MATCH($A7, '9_Calc_Total_ISIC'!$A$85:$A$109, 0)), 0)</f>
      </c>
      <c r="F7" t="str">
        <f>MAX(E7, Keys!$C$5)</f>
      </c>
      <c r="G7" t="str">
        <f>B7/F7</f>
      </c>
      <c r="H7" t="str">
        <f>C7/F7</f>
      </c>
      <c r="I7" t="str">
        <f>D7/F7</f>
      </c>
      <c r="J7" t="str">
        <f>MAX(0, 1-G7-H7-I7)</f>
      </c>
    </row>
    <row r="8">
      <c r="A8" t="s">
        <v>196</v>
      </c>
      <c r="B8" t="str">
        <f>IFERROR(INDEX('6_Calc_Gov_ISIC'!$C$85:$C$109, MATCH($A8, '6_Calc_Gov_ISIC'!$A$85:$A$109, 0)), 0)</f>
      </c>
      <c r="C8" t="str">
        <f>IFERROR(INDEX('7_Calc_HH_ISIC'!$C$85:$C$109, MATCH($A8, '7_Calc_HH_ISIC'!$A$85:$A$109, 0)), 0)</f>
      </c>
      <c r="D8" t="str">
        <f>IFERROR(INDEX('8_Calc_Intl_ISIC'!$C$85:$C$109, MATCH($A8, '8_Calc_Intl_ISIC'!$A$85:$A$109, 0)), 0)</f>
      </c>
      <c r="E8" t="str">
        <f>IFERROR(INDEX('9_Calc_Total_ISIC'!$C$85:$C$109, MATCH($A8, '9_Calc_Total_ISIC'!$A$85:$A$109, 0)), 0)</f>
      </c>
      <c r="F8" t="str">
        <f>MAX(E8, Keys!$C$5)</f>
      </c>
      <c r="G8" t="str">
        <f>B8/F8</f>
      </c>
      <c r="H8" t="str">
        <f>C8/F8</f>
      </c>
      <c r="I8" t="str">
        <f>D8/F8</f>
      </c>
      <c r="J8" t="str">
        <f>MAX(0, 1-G8-H8-I8)</f>
      </c>
    </row>
    <row r="9">
      <c r="A9" t="s">
        <v>197</v>
      </c>
      <c r="B9" t="str">
        <f>IFERROR(INDEX('6_Calc_Gov_ISIC'!$C$85:$C$109, MATCH($A9, '6_Calc_Gov_ISIC'!$A$85:$A$109, 0)), 0)</f>
      </c>
      <c r="C9" t="str">
        <f>IFERROR(INDEX('7_Calc_HH_ISIC'!$C$85:$C$109, MATCH($A9, '7_Calc_HH_ISIC'!$A$85:$A$109, 0)), 0)</f>
      </c>
      <c r="D9" t="str">
        <f>IFERROR(INDEX('8_Calc_Intl_ISIC'!$C$85:$C$109, MATCH($A9, '8_Calc_Intl_ISIC'!$A$85:$A$109, 0)), 0)</f>
      </c>
      <c r="E9" t="str">
        <f>IFERROR(INDEX('9_Calc_Total_ISIC'!$C$85:$C$109, MATCH($A9, '9_Calc_Total_ISIC'!$A$85:$A$109, 0)), 0)</f>
      </c>
      <c r="F9" t="str">
        <f>MAX(E9, Keys!$C$5)</f>
      </c>
      <c r="G9" t="str">
        <f>B9/F9</f>
      </c>
      <c r="H9" t="str">
        <f>C9/F9</f>
      </c>
      <c r="I9" t="str">
        <f>D9/F9</f>
      </c>
      <c r="J9" t="str">
        <f>MAX(0, 1-G9-H9-I9)</f>
      </c>
    </row>
    <row r="10">
      <c r="A10" t="s">
        <v>198</v>
      </c>
      <c r="B10" t="str">
        <f>IFERROR(INDEX('6_Calc_Gov_ISIC'!$C$85:$C$109, MATCH($A10, '6_Calc_Gov_ISIC'!$A$85:$A$109, 0)), 0)</f>
      </c>
      <c r="C10" t="str">
        <f>IFERROR(INDEX('7_Calc_HH_ISIC'!$C$85:$C$109, MATCH($A10, '7_Calc_HH_ISIC'!$A$85:$A$109, 0)), 0)</f>
      </c>
      <c r="D10" t="str">
        <f>IFERROR(INDEX('8_Calc_Intl_ISIC'!$C$85:$C$109, MATCH($A10, '8_Calc_Intl_ISIC'!$A$85:$A$109, 0)), 0)</f>
      </c>
      <c r="E10" t="str">
        <f>IFERROR(INDEX('9_Calc_Total_ISIC'!$C$85:$C$109, MATCH($A10, '9_Calc_Total_ISIC'!$A$85:$A$109, 0)), 0)</f>
      </c>
      <c r="F10" t="str">
        <f>MAX(E10, Keys!$C$5)</f>
      </c>
      <c r="G10" t="str">
        <f>B10/F10</f>
      </c>
      <c r="H10" t="str">
        <f>C10/F10</f>
      </c>
      <c r="I10" t="str">
        <f>D10/F10</f>
      </c>
      <c r="J10" t="str">
        <f>MAX(0, 1-G10-H10-I10)</f>
      </c>
    </row>
    <row r="11">
      <c r="A11" t="s">
        <v>199</v>
      </c>
      <c r="B11" t="str">
        <f>IFERROR(INDEX('6_Calc_Gov_ISIC'!$C$85:$C$109, MATCH($A11, '6_Calc_Gov_ISIC'!$A$85:$A$109, 0)), 0)</f>
      </c>
      <c r="C11" t="str">
        <f>IFERROR(INDEX('7_Calc_HH_ISIC'!$C$85:$C$109, MATCH($A11, '7_Calc_HH_ISIC'!$A$85:$A$109, 0)), 0)</f>
      </c>
      <c r="D11" t="str">
        <f>IFERROR(INDEX('8_Calc_Intl_ISIC'!$C$85:$C$109, MATCH($A11, '8_Calc_Intl_ISIC'!$A$85:$A$109, 0)), 0)</f>
      </c>
      <c r="E11" t="str">
        <f>IFERROR(INDEX('9_Calc_Total_ISIC'!$C$85:$C$109, MATCH($A11, '9_Calc_Total_ISIC'!$A$85:$A$109, 0)), 0)</f>
      </c>
      <c r="F11" t="str">
        <f>MAX(E11, Keys!$C$5)</f>
      </c>
      <c r="G11" t="str">
        <f>B11/F11</f>
      </c>
      <c r="H11" t="str">
        <f>C11/F11</f>
      </c>
      <c r="I11" t="str">
        <f>D11/F11</f>
      </c>
      <c r="J11" t="str">
        <f>MAX(0, 1-G11-H11-I11)</f>
      </c>
    </row>
    <row r="12">
      <c r="A12" t="s">
        <v>200</v>
      </c>
      <c r="B12" t="str">
        <f>IFERROR(INDEX('6_Calc_Gov_ISIC'!$C$85:$C$109, MATCH($A12, '6_Calc_Gov_ISIC'!$A$85:$A$109, 0)), 0)</f>
      </c>
      <c r="C12" t="str">
        <f>IFERROR(INDEX('7_Calc_HH_ISIC'!$C$85:$C$109, MATCH($A12, '7_Calc_HH_ISIC'!$A$85:$A$109, 0)), 0)</f>
      </c>
      <c r="D12" t="str">
        <f>IFERROR(INDEX('8_Calc_Intl_ISIC'!$C$85:$C$109, MATCH($A12, '8_Calc_Intl_ISIC'!$A$85:$A$109, 0)), 0)</f>
      </c>
      <c r="E12" t="str">
        <f>IFERROR(INDEX('9_Calc_Total_ISIC'!$C$85:$C$109, MATCH($A12, '9_Calc_Total_ISIC'!$A$85:$A$109, 0)), 0)</f>
      </c>
      <c r="F12" t="str">
        <f>MAX(E12, Keys!$C$5)</f>
      </c>
      <c r="G12" t="str">
        <f>B12/F12</f>
      </c>
      <c r="H12" t="str">
        <f>C12/F12</f>
      </c>
      <c r="I12" t="str">
        <f>D12/F12</f>
      </c>
      <c r="J12" t="str">
        <f>MAX(0, 1-G12-H12-I12)</f>
      </c>
    </row>
    <row r="13">
      <c r="A13" t="s">
        <v>110</v>
      </c>
      <c r="B13" t="str">
        <f>IFERROR(INDEX('6_Calc_Gov_ISIC'!$C$85:$C$109, MATCH($A13, '6_Calc_Gov_ISIC'!$A$85:$A$109, 0)), 0)</f>
      </c>
      <c r="C13" t="str">
        <f>IFERROR(INDEX('7_Calc_HH_ISIC'!$C$85:$C$109, MATCH($A13, '7_Calc_HH_ISIC'!$A$85:$A$109, 0)), 0)</f>
      </c>
      <c r="D13" t="str">
        <f>IFERROR(INDEX('8_Calc_Intl_ISIC'!$C$85:$C$109, MATCH($A13, '8_Calc_Intl_ISIC'!$A$85:$A$109, 0)), 0)</f>
      </c>
      <c r="E13" t="str">
        <f>IFERROR(INDEX('9_Calc_Total_ISIC'!$C$85:$C$109, MATCH($A13, '9_Calc_Total_ISIC'!$A$85:$A$109, 0)), 0)</f>
      </c>
      <c r="F13" t="str">
        <f>MAX(E13, Keys!$C$5)</f>
      </c>
      <c r="G13" t="str">
        <f>B13/F13</f>
      </c>
      <c r="H13" t="str">
        <f>C13/F13</f>
      </c>
      <c r="I13" t="str">
        <f>D13/F13</f>
      </c>
      <c r="J13" t="str">
        <f>MAX(0, 1-G13-H13-I13)</f>
      </c>
    </row>
    <row r="14">
      <c r="A14" t="s">
        <v>202</v>
      </c>
      <c r="B14" t="str">
        <f>IFERROR(INDEX('6_Calc_Gov_ISIC'!$C$85:$C$109, MATCH($A14, '6_Calc_Gov_ISIC'!$A$85:$A$109, 0)), 0)</f>
      </c>
      <c r="C14" t="str">
        <f>IFERROR(INDEX('7_Calc_HH_ISIC'!$C$85:$C$109, MATCH($A14, '7_Calc_HH_ISIC'!$A$85:$A$109, 0)), 0)</f>
      </c>
      <c r="D14" t="str">
        <f>IFERROR(INDEX('8_Calc_Intl_ISIC'!$C$85:$C$109, MATCH($A14, '8_Calc_Intl_ISIC'!$A$85:$A$109, 0)), 0)</f>
      </c>
      <c r="E14" t="str">
        <f>IFERROR(INDEX('9_Calc_Total_ISIC'!$C$85:$C$109, MATCH($A14, '9_Calc_Total_ISIC'!$A$85:$A$109, 0)), 0)</f>
      </c>
      <c r="F14" t="str">
        <f>MAX(E14, Keys!$C$5)</f>
      </c>
      <c r="G14" t="str">
        <f>B14/F14</f>
      </c>
      <c r="H14" t="str">
        <f>C14/F14</f>
      </c>
      <c r="I14" t="str">
        <f>D14/F14</f>
      </c>
      <c r="J14" t="str">
        <f>MAX(0, 1-G14-H14-I14)</f>
      </c>
    </row>
    <row r="15">
      <c r="A15" t="s">
        <v>203</v>
      </c>
      <c r="B15" t="str">
        <f>IFERROR(INDEX('6_Calc_Gov_ISIC'!$C$85:$C$109, MATCH($A15, '6_Calc_Gov_ISIC'!$A$85:$A$109, 0)), 0)</f>
      </c>
      <c r="C15" t="str">
        <f>IFERROR(INDEX('7_Calc_HH_ISIC'!$C$85:$C$109, MATCH($A15, '7_Calc_HH_ISIC'!$A$85:$A$109, 0)), 0)</f>
      </c>
      <c r="D15" t="str">
        <f>IFERROR(INDEX('8_Calc_Intl_ISIC'!$C$85:$C$109, MATCH($A15, '8_Calc_Intl_ISIC'!$A$85:$A$109, 0)), 0)</f>
      </c>
      <c r="E15" t="str">
        <f>IFERROR(INDEX('9_Calc_Total_ISIC'!$C$85:$C$109, MATCH($A15, '9_Calc_Total_ISIC'!$A$85:$A$109, 0)), 0)</f>
      </c>
      <c r="F15" t="str">
        <f>MAX(E15, Keys!$C$5)</f>
      </c>
      <c r="G15" t="str">
        <f>B15/F15</f>
      </c>
      <c r="H15" t="str">
        <f>C15/F15</f>
      </c>
      <c r="I15" t="str">
        <f>D15/F15</f>
      </c>
      <c r="J15" t="str">
        <f>MAX(0, 1-G15-H15-I15)</f>
      </c>
    </row>
    <row r="16">
      <c r="A16" t="s">
        <v>204</v>
      </c>
      <c r="B16" t="str">
        <f>IFERROR(INDEX('6_Calc_Gov_ISIC'!$C$85:$C$109, MATCH($A16, '6_Calc_Gov_ISIC'!$A$85:$A$109, 0)), 0)</f>
      </c>
      <c r="C16" t="str">
        <f>IFERROR(INDEX('7_Calc_HH_ISIC'!$C$85:$C$109, MATCH($A16, '7_Calc_HH_ISIC'!$A$85:$A$109, 0)), 0)</f>
      </c>
      <c r="D16" t="str">
        <f>IFERROR(INDEX('8_Calc_Intl_ISIC'!$C$85:$C$109, MATCH($A16, '8_Calc_Intl_ISIC'!$A$85:$A$109, 0)), 0)</f>
      </c>
      <c r="E16" t="str">
        <f>IFERROR(INDEX('9_Calc_Total_ISIC'!$C$85:$C$109, MATCH($A16, '9_Calc_Total_ISIC'!$A$85:$A$109, 0)), 0)</f>
      </c>
      <c r="F16" t="str">
        <f>MAX(E16, Keys!$C$5)</f>
      </c>
      <c r="G16" t="str">
        <f>B16/F16</f>
      </c>
      <c r="H16" t="str">
        <f>C16/F16</f>
      </c>
      <c r="I16" t="str">
        <f>D16/F16</f>
      </c>
      <c r="J16" t="str">
        <f>MAX(0, 1-G16-H16-I16)</f>
      </c>
    </row>
    <row r="17">
      <c r="A17" t="s">
        <v>205</v>
      </c>
      <c r="B17" t="str">
        <f>IFERROR(INDEX('6_Calc_Gov_ISIC'!$C$85:$C$109, MATCH($A17, '6_Calc_Gov_ISIC'!$A$85:$A$109, 0)), 0)</f>
      </c>
      <c r="C17" t="str">
        <f>IFERROR(INDEX('7_Calc_HH_ISIC'!$C$85:$C$109, MATCH($A17, '7_Calc_HH_ISIC'!$A$85:$A$109, 0)), 0)</f>
      </c>
      <c r="D17" t="str">
        <f>IFERROR(INDEX('8_Calc_Intl_ISIC'!$C$85:$C$109, MATCH($A17, '8_Calc_Intl_ISIC'!$A$85:$A$109, 0)), 0)</f>
      </c>
      <c r="E17" t="str">
        <f>IFERROR(INDEX('9_Calc_Total_ISIC'!$C$85:$C$109, MATCH($A17, '9_Calc_Total_ISIC'!$A$85:$A$109, 0)), 0)</f>
      </c>
      <c r="F17" t="str">
        <f>MAX(E17, Keys!$C$5)</f>
      </c>
      <c r="G17" t="str">
        <f>B17/F17</f>
      </c>
      <c r="H17" t="str">
        <f>C17/F17</f>
      </c>
      <c r="I17" t="str">
        <f>D17/F17</f>
      </c>
      <c r="J17" t="str">
        <f>MAX(0, 1-G17-H17-I17)</f>
      </c>
    </row>
    <row r="18">
      <c r="A18" t="s">
        <v>206</v>
      </c>
      <c r="B18" t="str">
        <f>IFERROR(INDEX('6_Calc_Gov_ISIC'!$C$85:$C$109, MATCH($A18, '6_Calc_Gov_ISIC'!$A$85:$A$109, 0)), 0)</f>
      </c>
      <c r="C18" t="str">
        <f>IFERROR(INDEX('7_Calc_HH_ISIC'!$C$85:$C$109, MATCH($A18, '7_Calc_HH_ISIC'!$A$85:$A$109, 0)), 0)</f>
      </c>
      <c r="D18" t="str">
        <f>IFERROR(INDEX('8_Calc_Intl_ISIC'!$C$85:$C$109, MATCH($A18, '8_Calc_Intl_ISIC'!$A$85:$A$109, 0)), 0)</f>
      </c>
      <c r="E18" t="str">
        <f>IFERROR(INDEX('9_Calc_Total_ISIC'!$C$85:$C$109, MATCH($A18, '9_Calc_Total_ISIC'!$A$85:$A$109, 0)), 0)</f>
      </c>
      <c r="F18" t="str">
        <f>MAX(E18, Keys!$C$5)</f>
      </c>
      <c r="G18" t="str">
        <f>B18/F18</f>
      </c>
      <c r="H18" t="str">
        <f>C18/F18</f>
      </c>
      <c r="I18" t="str">
        <f>D18/F18</f>
      </c>
      <c r="J18" t="str">
        <f>MAX(0, 1-G18-H18-I18)</f>
      </c>
    </row>
    <row r="19">
      <c r="A19" t="s">
        <v>207</v>
      </c>
      <c r="B19" t="str">
        <f>IFERROR(INDEX('6_Calc_Gov_ISIC'!$C$85:$C$109, MATCH($A19, '6_Calc_Gov_ISIC'!$A$85:$A$109, 0)), 0)</f>
      </c>
      <c r="C19" t="str">
        <f>IFERROR(INDEX('7_Calc_HH_ISIC'!$C$85:$C$109, MATCH($A19, '7_Calc_HH_ISIC'!$A$85:$A$109, 0)), 0)</f>
      </c>
      <c r="D19" t="str">
        <f>IFERROR(INDEX('8_Calc_Intl_ISIC'!$C$85:$C$109, MATCH($A19, '8_Calc_Intl_ISIC'!$A$85:$A$109, 0)), 0)</f>
      </c>
      <c r="E19" t="str">
        <f>IFERROR(INDEX('9_Calc_Total_ISIC'!$C$85:$C$109, MATCH($A19, '9_Calc_Total_ISIC'!$A$85:$A$109, 0)), 0)</f>
      </c>
      <c r="F19" t="str">
        <f>MAX(E19, Keys!$C$5)</f>
      </c>
      <c r="G19" t="str">
        <f>B19/F19</f>
      </c>
      <c r="H19" t="str">
        <f>C19/F19</f>
      </c>
      <c r="I19" t="str">
        <f>D19/F19</f>
      </c>
      <c r="J19" t="str">
        <f>MAX(0, 1-G19-H19-I19)</f>
      </c>
    </row>
    <row r="20">
      <c r="A20" t="s">
        <v>208</v>
      </c>
      <c r="B20" t="str">
        <f>IFERROR(INDEX('6_Calc_Gov_ISIC'!$C$85:$C$109, MATCH($A20, '6_Calc_Gov_ISIC'!$A$85:$A$109, 0)), 0)</f>
      </c>
      <c r="C20" t="str">
        <f>IFERROR(INDEX('7_Calc_HH_ISIC'!$C$85:$C$109, MATCH($A20, '7_Calc_HH_ISIC'!$A$85:$A$109, 0)), 0)</f>
      </c>
      <c r="D20" t="str">
        <f>IFERROR(INDEX('8_Calc_Intl_ISIC'!$C$85:$C$109, MATCH($A20, '8_Calc_Intl_ISIC'!$A$85:$A$109, 0)), 0)</f>
      </c>
      <c r="E20" t="str">
        <f>IFERROR(INDEX('9_Calc_Total_ISIC'!$C$85:$C$109, MATCH($A20, '9_Calc_Total_ISIC'!$A$85:$A$109, 0)), 0)</f>
      </c>
      <c r="F20" t="str">
        <f>MAX(E20, Keys!$C$5)</f>
      </c>
      <c r="G20" t="str">
        <f>B20/F20</f>
      </c>
      <c r="H20" t="str">
        <f>C20/F20</f>
      </c>
      <c r="I20" t="str">
        <f>D20/F20</f>
      </c>
      <c r="J20" t="str">
        <f>MAX(0, 1-G20-H20-I20)</f>
      </c>
    </row>
    <row r="21">
      <c r="A21" t="s">
        <v>209</v>
      </c>
      <c r="B21" t="str">
        <f>IFERROR(INDEX('6_Calc_Gov_ISIC'!$C$85:$C$109, MATCH($A21, '6_Calc_Gov_ISIC'!$A$85:$A$109, 0)), 0)</f>
      </c>
      <c r="C21" t="str">
        <f>IFERROR(INDEX('7_Calc_HH_ISIC'!$C$85:$C$109, MATCH($A21, '7_Calc_HH_ISIC'!$A$85:$A$109, 0)), 0)</f>
      </c>
      <c r="D21" t="str">
        <f>IFERROR(INDEX('8_Calc_Intl_ISIC'!$C$85:$C$109, MATCH($A21, '8_Calc_Intl_ISIC'!$A$85:$A$109, 0)), 0)</f>
      </c>
      <c r="E21" t="str">
        <f>IFERROR(INDEX('9_Calc_Total_ISIC'!$C$85:$C$109, MATCH($A21, '9_Calc_Total_ISIC'!$A$85:$A$109, 0)), 0)</f>
      </c>
      <c r="F21" t="str">
        <f>MAX(E21, Keys!$C$5)</f>
      </c>
      <c r="G21" t="str">
        <f>B21/F21</f>
      </c>
      <c r="H21" t="str">
        <f>C21/F21</f>
      </c>
      <c r="I21" t="str">
        <f>D21/F21</f>
      </c>
      <c r="J21" t="str">
        <f>MAX(0, 1-G21-H21-I21)</f>
      </c>
    </row>
    <row r="22">
      <c r="A22" t="s">
        <v>210</v>
      </c>
      <c r="B22" t="str">
        <f>IFERROR(INDEX('6_Calc_Gov_ISIC'!$C$85:$C$109, MATCH($A22, '6_Calc_Gov_ISIC'!$A$85:$A$109, 0)), 0)</f>
      </c>
      <c r="C22" t="str">
        <f>IFERROR(INDEX('7_Calc_HH_ISIC'!$C$85:$C$109, MATCH($A22, '7_Calc_HH_ISIC'!$A$85:$A$109, 0)), 0)</f>
      </c>
      <c r="D22" t="str">
        <f>IFERROR(INDEX('8_Calc_Intl_ISIC'!$C$85:$C$109, MATCH($A22, '8_Calc_Intl_ISIC'!$A$85:$A$109, 0)), 0)</f>
      </c>
      <c r="E22" t="str">
        <f>IFERROR(INDEX('9_Calc_Total_ISIC'!$C$85:$C$109, MATCH($A22, '9_Calc_Total_ISIC'!$A$85:$A$109, 0)), 0)</f>
      </c>
      <c r="F22" t="str">
        <f>MAX(E22, Keys!$C$5)</f>
      </c>
      <c r="G22" t="str">
        <f>B22/F22</f>
      </c>
      <c r="H22" t="str">
        <f>C22/F22</f>
      </c>
      <c r="I22" t="str">
        <f>D22/F22</f>
      </c>
      <c r="J22" t="str">
        <f>MAX(0, 1-G22-H22-I22)</f>
      </c>
    </row>
    <row r="23">
      <c r="A23" t="s">
        <v>211</v>
      </c>
      <c r="B23" t="str">
        <f>IFERROR(INDEX('6_Calc_Gov_ISIC'!$C$85:$C$109, MATCH($A23, '6_Calc_Gov_ISIC'!$A$85:$A$109, 0)), 0)</f>
      </c>
      <c r="C23" t="str">
        <f>IFERROR(INDEX('7_Calc_HH_ISIC'!$C$85:$C$109, MATCH($A23, '7_Calc_HH_ISIC'!$A$85:$A$109, 0)), 0)</f>
      </c>
      <c r="D23" t="str">
        <f>IFERROR(INDEX('8_Calc_Intl_ISIC'!$C$85:$C$109, MATCH($A23, '8_Calc_Intl_ISIC'!$A$85:$A$109, 0)), 0)</f>
      </c>
      <c r="E23" t="str">
        <f>IFERROR(INDEX('9_Calc_Total_ISIC'!$C$85:$C$109, MATCH($A23, '9_Calc_Total_ISIC'!$A$85:$A$109, 0)), 0)</f>
      </c>
      <c r="F23" t="str">
        <f>MAX(E23, Keys!$C$5)</f>
      </c>
      <c r="G23" t="str">
        <f>B23/F23</f>
      </c>
      <c r="H23" t="str">
        <f>C23/F23</f>
      </c>
      <c r="I23" t="str">
        <f>D23/F23</f>
      </c>
      <c r="J23" t="str">
        <f>MAX(0, 1-G23-H23-I23)</f>
      </c>
    </row>
    <row r="24">
      <c r="A24" t="s">
        <v>212</v>
      </c>
      <c r="B24" t="str">
        <f>IFERROR(INDEX('6_Calc_Gov_ISIC'!$C$85:$C$109, MATCH($A24, '6_Calc_Gov_ISIC'!$A$85:$A$109, 0)), 0)</f>
      </c>
      <c r="C24" t="str">
        <f>IFERROR(INDEX('7_Calc_HH_ISIC'!$C$85:$C$109, MATCH($A24, '7_Calc_HH_ISIC'!$A$85:$A$109, 0)), 0)</f>
      </c>
      <c r="D24" t="str">
        <f>IFERROR(INDEX('8_Calc_Intl_ISIC'!$C$85:$C$109, MATCH($A24, '8_Calc_Intl_ISIC'!$A$85:$A$109, 0)), 0)</f>
      </c>
      <c r="E24" t="str">
        <f>IFERROR(INDEX('9_Calc_Total_ISIC'!$C$85:$C$109, MATCH($A24, '9_Calc_Total_ISIC'!$A$85:$A$109, 0)), 0)</f>
      </c>
      <c r="F24" t="str">
        <f>MAX(E24, Keys!$C$5)</f>
      </c>
      <c r="G24" t="str">
        <f>B24/F24</f>
      </c>
      <c r="H24" t="str">
        <f>C24/F24</f>
      </c>
      <c r="I24" t="str">
        <f>D24/F24</f>
      </c>
      <c r="J24" t="str">
        <f>MAX(0, 1-G24-H24-I24)</f>
      </c>
    </row>
    <row r="25">
      <c r="A25" t="s">
        <v>214</v>
      </c>
      <c r="B25" t="str">
        <f>IFERROR(INDEX('6_Calc_Gov_ISIC'!$C$85:$C$109, MATCH($A25, '6_Calc_Gov_ISIC'!$A$85:$A$109, 0)), 0)</f>
      </c>
      <c r="C25" t="str">
        <f>IFERROR(INDEX('7_Calc_HH_ISIC'!$C$85:$C$109, MATCH($A25, '7_Calc_HH_ISIC'!$A$85:$A$109, 0)), 0)</f>
      </c>
      <c r="D25" t="str">
        <f>IFERROR(INDEX('8_Calc_Intl_ISIC'!$C$85:$C$109, MATCH($A25, '8_Calc_Intl_ISIC'!$A$85:$A$109, 0)), 0)</f>
      </c>
      <c r="E25" t="str">
        <f>IFERROR(INDEX('9_Calc_Total_ISIC'!$C$85:$C$109, MATCH($A25, '9_Calc_Total_ISIC'!$A$85:$A$109, 0)), 0)</f>
      </c>
      <c r="F25" t="str">
        <f>MAX(E25, Keys!$C$5)</f>
      </c>
      <c r="G25" t="str">
        <f>B25/F25</f>
      </c>
      <c r="H25" t="str">
        <f>C25/F25</f>
      </c>
      <c r="I25" t="str">
        <f>D25/F25</f>
      </c>
      <c r="J25" t="str">
        <f>MAX(0, 1-G25-H25-I25)</f>
      </c>
    </row>
    <row r="26">
      <c r="A26" t="s">
        <v>215</v>
      </c>
      <c r="B26" t="str">
        <f>IFERROR(INDEX('6_Calc_Gov_ISIC'!$C$85:$C$109, MATCH($A26, '6_Calc_Gov_ISIC'!$A$85:$A$109, 0)), 0)</f>
      </c>
      <c r="C26" t="str">
        <f>IFERROR(INDEX('7_Calc_HH_ISIC'!$C$85:$C$109, MATCH($A26, '7_Calc_HH_ISIC'!$A$85:$A$109, 0)), 0)</f>
      </c>
      <c r="D26" t="str">
        <f>IFERROR(INDEX('8_Calc_Intl_ISIC'!$C$85:$C$109, MATCH($A26, '8_Calc_Intl_ISIC'!$A$85:$A$109, 0)), 0)</f>
      </c>
      <c r="E26" t="str">
        <f>IFERROR(INDEX('9_Calc_Total_ISIC'!$C$85:$C$109, MATCH($A26, '9_Calc_Total_ISIC'!$A$85:$A$109, 0)), 0)</f>
      </c>
      <c r="F26" t="str">
        <f>MAX(E26, Keys!$C$5)</f>
      </c>
      <c r="G26" t="str">
        <f>B26/F26</f>
      </c>
      <c r="H26" t="str">
        <f>C26/F26</f>
      </c>
      <c r="I26" t="str">
        <f>D26/F26</f>
      </c>
      <c r="J26" t="str">
        <f>MAX(0, 1-G26-H26-I26)</f>
      </c>
    </row>
    <row r="27">
      <c r="A27" t="s">
        <v>216</v>
      </c>
      <c r="B27" t="str">
        <f>IFERROR(INDEX('6_Calc_Gov_ISIC'!$C$85:$C$109, MATCH($A27, '6_Calc_Gov_ISIC'!$A$85:$A$109, 0)), 0)</f>
      </c>
      <c r="C27" t="str">
        <f>IFERROR(INDEX('7_Calc_HH_ISIC'!$C$85:$C$109, MATCH($A27, '7_Calc_HH_ISIC'!$A$85:$A$109, 0)), 0)</f>
      </c>
      <c r="D27" t="str">
        <f>IFERROR(INDEX('8_Calc_Intl_ISIC'!$C$85:$C$109, MATCH($A27, '8_Calc_Intl_ISIC'!$A$85:$A$109, 0)), 0)</f>
      </c>
      <c r="E27" t="str">
        <f>IFERROR(INDEX('9_Calc_Total_ISIC'!$C$85:$C$109, MATCH($A27, '9_Calc_Total_ISIC'!$A$85:$A$109, 0)), 0)</f>
      </c>
      <c r="F27" t="str">
        <f>MAX(E27, Keys!$C$5)</f>
      </c>
      <c r="G27" t="str">
        <f>B27/F27</f>
      </c>
      <c r="H27" t="str">
        <f>C27/F27</f>
      </c>
      <c r="I27" t="str">
        <f>D27/F27</f>
      </c>
      <c r="J27" t="str">
        <f>MAX(0, 1-G27-H27-I27)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</row>
    <row r="2">
      <c r="A2" t="s">
        <v>597</v>
      </c>
      <c r="B2" t="str">
        <f>'10_Calc_Entity_fractions'!G3</f>
      </c>
      <c r="C2" t="str">
        <f>'10_Calc_Entity_fractions'!J3</f>
      </c>
      <c r="D2" t="str">
        <f>'10_Calc_Entity_fractions'!H3</f>
      </c>
      <c r="E2" t="str">
        <f>'10_Calc_Entity_fractions'!I3</f>
      </c>
    </row>
    <row r="3">
      <c r="A3" t="s">
        <v>598</v>
      </c>
      <c r="B3" t="str">
        <f>'10_Calc_Entity_fractions'!G4</f>
      </c>
      <c r="C3" t="str">
        <f>'10_Calc_Entity_fractions'!J4</f>
      </c>
      <c r="D3" t="str">
        <f>'10_Calc_Entity_fractions'!H4</f>
      </c>
      <c r="E3" t="str">
        <f>'10_Calc_Entity_fractions'!I4</f>
      </c>
    </row>
    <row r="4">
      <c r="A4" t="s">
        <v>599</v>
      </c>
      <c r="B4" t="str">
        <f>'10_Calc_Entity_fractions'!G5</f>
      </c>
      <c r="C4" t="str">
        <f>'10_Calc_Entity_fractions'!J5</f>
      </c>
      <c r="D4" t="str">
        <f>'10_Calc_Entity_fractions'!H5</f>
      </c>
      <c r="E4" t="str">
        <f>'10_Calc_Entity_fractions'!I5</f>
      </c>
    </row>
    <row r="5">
      <c r="A5" t="s">
        <v>600</v>
      </c>
      <c r="B5" t="str">
        <f>'10_Calc_Entity_fractions'!G6</f>
      </c>
      <c r="C5" t="str">
        <f>'10_Calc_Entity_fractions'!J6</f>
      </c>
      <c r="D5" t="str">
        <f>'10_Calc_Entity_fractions'!H6</f>
      </c>
      <c r="E5" t="str">
        <f>'10_Calc_Entity_fractions'!I6</f>
      </c>
    </row>
    <row r="6">
      <c r="A6" t="s">
        <v>601</v>
      </c>
      <c r="B6" t="str">
        <f>'10_Calc_Entity_fractions'!G7</f>
      </c>
      <c r="C6" t="str">
        <f>'10_Calc_Entity_fractions'!J7</f>
      </c>
      <c r="D6" t="str">
        <f>'10_Calc_Entity_fractions'!H7</f>
      </c>
      <c r="E6" t="str">
        <f>'10_Calc_Entity_fractions'!I7</f>
      </c>
    </row>
    <row r="7">
      <c r="A7" t="s">
        <v>602</v>
      </c>
      <c r="B7" t="str">
        <f>'10_Calc_Entity_fractions'!G8</f>
      </c>
      <c r="C7" t="str">
        <f>'10_Calc_Entity_fractions'!J8</f>
      </c>
      <c r="D7" t="str">
        <f>'10_Calc_Entity_fractions'!H8</f>
      </c>
      <c r="E7" t="str">
        <f>'10_Calc_Entity_fractions'!I8</f>
      </c>
    </row>
    <row r="8">
      <c r="A8" t="s">
        <v>603</v>
      </c>
      <c r="B8" t="str">
        <f>'10_Calc_Entity_fractions'!G9</f>
      </c>
      <c r="C8" t="str">
        <f>'10_Calc_Entity_fractions'!J9</f>
      </c>
      <c r="D8" t="str">
        <f>'10_Calc_Entity_fractions'!H9</f>
      </c>
      <c r="E8" t="str">
        <f>'10_Calc_Entity_fractions'!I9</f>
      </c>
    </row>
    <row r="9">
      <c r="A9" t="s">
        <v>604</v>
      </c>
      <c r="B9" t="str">
        <f>'10_Calc_Entity_fractions'!G10</f>
      </c>
      <c r="C9" t="str">
        <f>'10_Calc_Entity_fractions'!J10</f>
      </c>
      <c r="D9" t="str">
        <f>'10_Calc_Entity_fractions'!H10</f>
      </c>
      <c r="E9" t="str">
        <f>'10_Calc_Entity_fractions'!I10</f>
      </c>
    </row>
    <row r="10">
      <c r="A10" t="s">
        <v>605</v>
      </c>
      <c r="B10" t="str">
        <f>'10_Calc_Entity_fractions'!G11</f>
      </c>
      <c r="C10" t="str">
        <f>'10_Calc_Entity_fractions'!J11</f>
      </c>
      <c r="D10" t="str">
        <f>'10_Calc_Entity_fractions'!H11</f>
      </c>
      <c r="E10" t="str">
        <f>'10_Calc_Entity_fractions'!I11</f>
      </c>
    </row>
    <row r="11">
      <c r="A11" t="s">
        <v>606</v>
      </c>
      <c r="B11" t="str">
        <f>'10_Calc_Entity_fractions'!G12</f>
      </c>
      <c r="C11" t="str">
        <f>'10_Calc_Entity_fractions'!J12</f>
      </c>
      <c r="D11" t="str">
        <f>'10_Calc_Entity_fractions'!H12</f>
      </c>
      <c r="E11" t="str">
        <f>'10_Calc_Entity_fractions'!I12</f>
      </c>
    </row>
    <row r="12">
      <c r="A12" t="s">
        <v>607</v>
      </c>
      <c r="B12" t="str">
        <f>'10_Calc_Entity_fractions'!G13</f>
      </c>
      <c r="C12" t="str">
        <f>'10_Calc_Entity_fractions'!J13</f>
      </c>
      <c r="D12" t="str">
        <f>'10_Calc_Entity_fractions'!H13</f>
      </c>
      <c r="E12" t="str">
        <f>'10_Calc_Entity_fractions'!I13</f>
      </c>
    </row>
    <row r="13">
      <c r="A13" t="s">
        <v>608</v>
      </c>
      <c r="B13" t="str">
        <f>'10_Calc_Entity_fractions'!G14</f>
      </c>
      <c r="C13" t="str">
        <f>'10_Calc_Entity_fractions'!J14</f>
      </c>
      <c r="D13" t="str">
        <f>'10_Calc_Entity_fractions'!H14</f>
      </c>
      <c r="E13" t="str">
        <f>'10_Calc_Entity_fractions'!I14</f>
      </c>
    </row>
    <row r="14">
      <c r="A14" t="s">
        <v>609</v>
      </c>
      <c r="B14" t="str">
        <f>'10_Calc_Entity_fractions'!G15</f>
      </c>
      <c r="C14" t="str">
        <f>'10_Calc_Entity_fractions'!J15</f>
      </c>
      <c r="D14" t="str">
        <f>'10_Calc_Entity_fractions'!H15</f>
      </c>
      <c r="E14" t="str">
        <f>'10_Calc_Entity_fractions'!I15</f>
      </c>
    </row>
    <row r="15">
      <c r="A15" t="s">
        <v>610</v>
      </c>
      <c r="B15" t="str">
        <f>'10_Calc_Entity_fractions'!G16</f>
      </c>
      <c r="C15" t="str">
        <f>'10_Calc_Entity_fractions'!J16</f>
      </c>
      <c r="D15" t="str">
        <f>'10_Calc_Entity_fractions'!H16</f>
      </c>
      <c r="E15" t="str">
        <f>'10_Calc_Entity_fractions'!I16</f>
      </c>
    </row>
    <row r="16">
      <c r="A16" t="s">
        <v>611</v>
      </c>
      <c r="B16" t="str">
        <f>'10_Calc_Entity_fractions'!G17</f>
      </c>
      <c r="C16" t="str">
        <f>'10_Calc_Entity_fractions'!J17</f>
      </c>
      <c r="D16" t="str">
        <f>'10_Calc_Entity_fractions'!H17</f>
      </c>
      <c r="E16" t="str">
        <f>'10_Calc_Entity_fractions'!I17</f>
      </c>
    </row>
    <row r="17">
      <c r="A17" t="s">
        <v>612</v>
      </c>
      <c r="B17" t="str">
        <f>'10_Calc_Entity_fractions'!G18</f>
      </c>
      <c r="C17" t="str">
        <f>'10_Calc_Entity_fractions'!J18</f>
      </c>
      <c r="D17" t="str">
        <f>'10_Calc_Entity_fractions'!H18</f>
      </c>
      <c r="E17" t="str">
        <f>'10_Calc_Entity_fractions'!I18</f>
      </c>
    </row>
    <row r="18">
      <c r="A18" t="s">
        <v>613</v>
      </c>
      <c r="B18" t="str">
        <f>'10_Calc_Entity_fractions'!G19</f>
      </c>
      <c r="C18" t="str">
        <f>'10_Calc_Entity_fractions'!J19</f>
      </c>
      <c r="D18" t="str">
        <f>'10_Calc_Entity_fractions'!H19</f>
      </c>
      <c r="E18" t="str">
        <f>'10_Calc_Entity_fractions'!I19</f>
      </c>
    </row>
    <row r="19">
      <c r="A19" t="s">
        <v>614</v>
      </c>
      <c r="B19" t="str">
        <f>'10_Calc_Entity_fractions'!G20</f>
      </c>
      <c r="C19" t="str">
        <f>'10_Calc_Entity_fractions'!J20</f>
      </c>
      <c r="D19" t="str">
        <f>'10_Calc_Entity_fractions'!H20</f>
      </c>
      <c r="E19" t="str">
        <f>'10_Calc_Entity_fractions'!I20</f>
      </c>
    </row>
    <row r="20">
      <c r="A20" t="s">
        <v>615</v>
      </c>
      <c r="B20" t="str">
        <f>'10_Calc_Entity_fractions'!G21</f>
      </c>
      <c r="C20" t="str">
        <f>'10_Calc_Entity_fractions'!J21</f>
      </c>
      <c r="D20" t="str">
        <f>'10_Calc_Entity_fractions'!H21</f>
      </c>
      <c r="E20" t="str">
        <f>'10_Calc_Entity_fractions'!I21</f>
      </c>
    </row>
    <row r="21">
      <c r="A21" t="s">
        <v>616</v>
      </c>
      <c r="B21" t="str">
        <f>'10_Calc_Entity_fractions'!G22</f>
      </c>
      <c r="C21" t="str">
        <f>'10_Calc_Entity_fractions'!J22</f>
      </c>
      <c r="D21" t="str">
        <f>'10_Calc_Entity_fractions'!H22</f>
      </c>
      <c r="E21" t="str">
        <f>'10_Calc_Entity_fractions'!I22</f>
      </c>
    </row>
    <row r="22">
      <c r="A22" t="s">
        <v>617</v>
      </c>
      <c r="B22" t="str">
        <f>'10_Calc_Entity_fractions'!G23</f>
      </c>
      <c r="C22" t="str">
        <f>'10_Calc_Entity_fractions'!J23</f>
      </c>
      <c r="D22" t="str">
        <f>'10_Calc_Entity_fractions'!H23</f>
      </c>
      <c r="E22" t="str">
        <f>'10_Calc_Entity_fractions'!I23</f>
      </c>
    </row>
    <row r="23">
      <c r="A23" t="s">
        <v>618</v>
      </c>
      <c r="B23" t="str">
        <f>'10_Calc_Entity_fractions'!G24</f>
      </c>
      <c r="C23" t="str">
        <f>'10_Calc_Entity_fractions'!J24</f>
      </c>
      <c r="D23" t="str">
        <f>'10_Calc_Entity_fractions'!H24</f>
      </c>
      <c r="E23" t="str">
        <f>'10_Calc_Entity_fractions'!I24</f>
      </c>
    </row>
    <row r="24">
      <c r="A24" t="s">
        <v>619</v>
      </c>
      <c r="B24" t="str">
        <f>'10_Calc_Entity_fractions'!G25</f>
      </c>
      <c r="C24" t="str">
        <f>'10_Calc_Entity_fractions'!J25</f>
      </c>
      <c r="D24" t="str">
        <f>'10_Calc_Entity_fractions'!H25</f>
      </c>
      <c r="E24" t="str">
        <f>'10_Calc_Entity_fractions'!I25</f>
      </c>
    </row>
    <row r="25">
      <c r="A25" t="s">
        <v>620</v>
      </c>
      <c r="B25" t="str">
        <f>'10_Calc_Entity_fractions'!G26</f>
      </c>
      <c r="C25" t="str">
        <f>'10_Calc_Entity_fractions'!J26</f>
      </c>
      <c r="D25" t="str">
        <f>'10_Calc_Entity_fractions'!H26</f>
      </c>
      <c r="E25" t="str">
        <f>'10_Calc_Entity_fractions'!I26</f>
      </c>
    </row>
    <row r="26">
      <c r="A26" t="s">
        <v>621</v>
      </c>
      <c r="B26" t="str">
        <f>'10_Calc_Entity_fractions'!G27</f>
      </c>
      <c r="C26" t="str">
        <f>'10_Calc_Entity_fractions'!J27</f>
      </c>
      <c r="D26" t="str">
        <f>'10_Calc_Entity_fractions'!H27</f>
      </c>
      <c r="E26" t="str">
        <f>'10_Calc_Entity_fractions'!I27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592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</row>
    <row r="2">
      <c r="A2" t="s">
        <v>597</v>
      </c>
      <c r="B2" t="n">
        <v>0.134388315856239</v>
      </c>
      <c r="C2" t="n">
        <v>0</v>
      </c>
      <c r="D2" t="n">
        <v>0</v>
      </c>
      <c r="E2" t="n">
        <v>0.000267585601981435</v>
      </c>
      <c r="F2" t="n">
        <v>0.0000029716860564595</v>
      </c>
      <c r="G2" t="n">
        <v>0.468875978009831</v>
      </c>
      <c r="H2" t="n">
        <v>0.0304502510880487</v>
      </c>
      <c r="I2" t="n">
        <v>0.0634550107345068</v>
      </c>
      <c r="J2" t="n">
        <v>0.0320971134713731</v>
      </c>
      <c r="K2" t="n">
        <v>0</v>
      </c>
      <c r="L2" t="n">
        <v>0.0310523049159057</v>
      </c>
      <c r="M2" t="n">
        <v>0.0103507683053019</v>
      </c>
      <c r="N2" t="n">
        <v>0.0490137149615897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0.00307831137742148</v>
      </c>
      <c r="Z2" t="n">
        <v>0</v>
      </c>
      <c r="AA2" t="n">
        <v>0</v>
      </c>
      <c r="AB2" t="n">
        <v>0</v>
      </c>
      <c r="AC2" t="n">
        <v>0.00478945198156088</v>
      </c>
      <c r="AD2" t="n">
        <v>0.0167755640796125</v>
      </c>
      <c r="AE2" t="n">
        <v>0.000130469081644751</v>
      </c>
      <c r="AF2" t="n">
        <v>0.097477070249592</v>
      </c>
      <c r="AG2" t="n">
        <v>0</v>
      </c>
      <c r="AH2" t="n">
        <v>0</v>
      </c>
      <c r="AI2" t="n">
        <v>0</v>
      </c>
      <c r="AJ2" t="n">
        <v>0.00000134183230721321</v>
      </c>
      <c r="AK2" t="n">
        <v>0.00000796526861942415</v>
      </c>
      <c r="AL2" t="n">
        <v>0.00984847707066337</v>
      </c>
      <c r="AM2" t="n">
        <v>0.0427507569860413</v>
      </c>
      <c r="AN2" t="n">
        <v>0.000735288496373203</v>
      </c>
      <c r="AO2" t="n">
        <v>0</v>
      </c>
      <c r="AP2" t="n">
        <v>0.00445128894532954</v>
      </c>
      <c r="AQ2" t="n">
        <v>0</v>
      </c>
    </row>
    <row r="3">
      <c r="A3" t="s">
        <v>598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599</v>
      </c>
      <c r="B4" t="n">
        <v>0</v>
      </c>
      <c r="C4" t="n">
        <v>0</v>
      </c>
      <c r="D4" t="n">
        <v>0.00000874117744228915</v>
      </c>
      <c r="E4" t="n">
        <v>0</v>
      </c>
      <c r="F4" t="n">
        <v>0.00000715417007546325</v>
      </c>
      <c r="G4" t="n">
        <v>0.000000126648173498187</v>
      </c>
      <c r="H4" t="n">
        <v>0</v>
      </c>
      <c r="I4" t="n">
        <v>0.0000725042098475443</v>
      </c>
      <c r="J4" t="n">
        <v>0.000149987269294053</v>
      </c>
      <c r="K4" t="n">
        <v>0.824599428374782</v>
      </c>
      <c r="L4" t="n">
        <v>0.00704556659559158</v>
      </c>
      <c r="M4" t="n">
        <v>0.00234852219853053</v>
      </c>
      <c r="N4" t="n">
        <v>0</v>
      </c>
      <c r="O4" t="n">
        <v>0.0000000281301512742527</v>
      </c>
      <c r="P4" t="n">
        <v>0.000000253171361468274</v>
      </c>
      <c r="Q4" t="n">
        <v>0.0334649296755619</v>
      </c>
      <c r="R4" t="n">
        <v>0.000000357336523138687</v>
      </c>
      <c r="S4" t="n">
        <v>0</v>
      </c>
      <c r="T4" t="n">
        <v>0</v>
      </c>
      <c r="U4" t="n">
        <v>0</v>
      </c>
      <c r="V4" t="n">
        <v>0</v>
      </c>
      <c r="W4" t="n">
        <v>0.000000571727160769315</v>
      </c>
      <c r="X4" t="n">
        <v>0</v>
      </c>
      <c r="Y4" t="n">
        <v>0</v>
      </c>
      <c r="Z4" t="n">
        <v>0.0594976795306293</v>
      </c>
      <c r="AA4" t="n">
        <v>0.0165312625180063</v>
      </c>
      <c r="AB4" t="n">
        <v>0.00670394759388466</v>
      </c>
      <c r="AC4" t="n">
        <v>0</v>
      </c>
      <c r="AD4" t="n">
        <v>0.000170418841592351</v>
      </c>
      <c r="AE4" t="n">
        <v>0.00143591170518969</v>
      </c>
      <c r="AF4" t="n">
        <v>0.000000502993198999823</v>
      </c>
      <c r="AG4" t="n">
        <v>0.000278388488672605</v>
      </c>
      <c r="AH4" t="n">
        <v>0.0000269553597805739</v>
      </c>
      <c r="AI4" t="n">
        <v>0.0000482657586689775</v>
      </c>
      <c r="AJ4" t="n">
        <v>0</v>
      </c>
      <c r="AK4" t="n">
        <v>0.000255559464687006</v>
      </c>
      <c r="AL4" t="n">
        <v>0.0000548700637851901</v>
      </c>
      <c r="AM4" t="n">
        <v>0.0453061014742988</v>
      </c>
      <c r="AN4" t="n">
        <v>0.00162214945835142</v>
      </c>
      <c r="AO4" t="n">
        <v>0.000000398140623880951</v>
      </c>
      <c r="AP4" t="n">
        <v>0.000369417924134658</v>
      </c>
      <c r="AQ4" t="n">
        <v>0</v>
      </c>
    </row>
    <row r="5">
      <c r="A5" t="s">
        <v>600</v>
      </c>
      <c r="B5" t="n">
        <v>0.00512436265602573</v>
      </c>
      <c r="C5" t="n">
        <v>0</v>
      </c>
      <c r="D5" t="n">
        <v>0.0000000703048684712281</v>
      </c>
      <c r="E5" t="n">
        <v>0.0516126476544835</v>
      </c>
      <c r="F5" t="n">
        <v>0.0000937825213381072</v>
      </c>
      <c r="G5" t="n">
        <v>0.0120592897726506</v>
      </c>
      <c r="H5" t="n">
        <v>0.00276243275259272</v>
      </c>
      <c r="I5" t="n">
        <v>0.000131514227211988</v>
      </c>
      <c r="J5" t="n">
        <v>0.0494325024328723</v>
      </c>
      <c r="K5" t="n">
        <v>0.00496930359809852</v>
      </c>
      <c r="L5" t="n">
        <v>0.0702254155642129</v>
      </c>
      <c r="M5" t="n">
        <v>0.0234084718547376</v>
      </c>
      <c r="N5" t="n">
        <v>0.00440293698089599</v>
      </c>
      <c r="O5" t="n">
        <v>0.0159553206028627</v>
      </c>
      <c r="P5" t="n">
        <v>0.143597885425764</v>
      </c>
      <c r="Q5" t="n">
        <v>0.0830312150626474</v>
      </c>
      <c r="R5" t="n">
        <v>0.0677696295065655</v>
      </c>
      <c r="S5" t="n">
        <v>0.00832969917629446</v>
      </c>
      <c r="T5" t="n">
        <v>0.0000554612906265196</v>
      </c>
      <c r="U5" t="n">
        <v>0.00621808974344887</v>
      </c>
      <c r="V5" t="n">
        <v>0.00264292569174372</v>
      </c>
      <c r="W5" t="n">
        <v>0.00477112682204588</v>
      </c>
      <c r="X5" t="n">
        <v>0.00106760702271018</v>
      </c>
      <c r="Y5" t="n">
        <v>0.00184402534157585</v>
      </c>
      <c r="Z5" t="n">
        <v>0.0530091187799909</v>
      </c>
      <c r="AA5" t="n">
        <v>0.0147247552166641</v>
      </c>
      <c r="AB5" t="n">
        <v>0.00697169454676735</v>
      </c>
      <c r="AC5" t="n">
        <v>0.18495802158622</v>
      </c>
      <c r="AD5" t="n">
        <v>0.000426877485548687</v>
      </c>
      <c r="AE5" t="n">
        <v>0.000762746033924197</v>
      </c>
      <c r="AF5" t="n">
        <v>0.00981236163546984</v>
      </c>
      <c r="AG5" t="n">
        <v>0.000673232271396129</v>
      </c>
      <c r="AH5" t="n">
        <v>0.00175740690404317</v>
      </c>
      <c r="AI5" t="n">
        <v>0.00207129894984901</v>
      </c>
      <c r="AJ5" t="n">
        <v>0</v>
      </c>
      <c r="AK5" t="n">
        <v>0.0000501745755897543</v>
      </c>
      <c r="AL5" t="n">
        <v>0.0224879483410498</v>
      </c>
      <c r="AM5" t="n">
        <v>0.121208537662342</v>
      </c>
      <c r="AN5" t="n">
        <v>0.00224777065707538</v>
      </c>
      <c r="AO5" t="n">
        <v>0.00129515804230499</v>
      </c>
      <c r="AP5" t="n">
        <v>0.0180371813054904</v>
      </c>
      <c r="AQ5" t="n">
        <v>0</v>
      </c>
    </row>
    <row r="6">
      <c r="A6" t="s">
        <v>601</v>
      </c>
      <c r="B6" t="n">
        <v>0.0279342387785276</v>
      </c>
      <c r="C6" t="n">
        <v>0</v>
      </c>
      <c r="D6" t="n">
        <v>0</v>
      </c>
      <c r="E6" t="n">
        <v>0</v>
      </c>
      <c r="F6" t="n">
        <v>0</v>
      </c>
      <c r="G6" t="n">
        <v>0.325211433520749</v>
      </c>
      <c r="H6" t="n">
        <v>0.000709264269518147</v>
      </c>
      <c r="I6" t="n">
        <v>0.000097295257717514</v>
      </c>
      <c r="J6" t="n">
        <v>0.00479932041502565</v>
      </c>
      <c r="K6" t="n">
        <v>0.00025682678501758</v>
      </c>
      <c r="L6" t="n">
        <v>0.0126545157792659</v>
      </c>
      <c r="M6" t="n">
        <v>0.00421817192642197</v>
      </c>
      <c r="N6" t="n">
        <v>0.00255448323626973</v>
      </c>
      <c r="O6" t="n">
        <v>0.000206140217074959</v>
      </c>
      <c r="P6" t="n">
        <v>0.00185526195367463</v>
      </c>
      <c r="Q6" t="n">
        <v>0.0000196031027571784</v>
      </c>
      <c r="R6" t="n">
        <v>0.0000075112131497177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0.0000160092396939427</v>
      </c>
      <c r="Z6" t="n">
        <v>0</v>
      </c>
      <c r="AA6" t="n">
        <v>0</v>
      </c>
      <c r="AB6" t="n">
        <v>0</v>
      </c>
      <c r="AC6" t="n">
        <v>0</v>
      </c>
      <c r="AD6" t="n">
        <v>0.0229371525440403</v>
      </c>
      <c r="AE6" t="n">
        <v>0.000875970752734237</v>
      </c>
      <c r="AF6" t="n">
        <v>0.281456972457782</v>
      </c>
      <c r="AG6" t="n">
        <v>0.0000424119473621265</v>
      </c>
      <c r="AH6" t="n">
        <v>0</v>
      </c>
      <c r="AI6" t="n">
        <v>0.000168618725937544</v>
      </c>
      <c r="AJ6" t="n">
        <v>0</v>
      </c>
      <c r="AK6" t="n">
        <v>0</v>
      </c>
      <c r="AL6" t="n">
        <v>0.00955095012430312</v>
      </c>
      <c r="AM6" t="n">
        <v>0.223826466821132</v>
      </c>
      <c r="AN6" t="n">
        <v>0.00901864097670687</v>
      </c>
      <c r="AO6" t="n">
        <v>0.0522860038392359</v>
      </c>
      <c r="AP6" t="n">
        <v>0.0192967361159012</v>
      </c>
      <c r="AQ6" t="n">
        <v>0</v>
      </c>
    </row>
    <row r="7">
      <c r="A7" t="s">
        <v>602</v>
      </c>
      <c r="B7" t="n">
        <v>0.000551621618960319</v>
      </c>
      <c r="C7" t="n">
        <v>0</v>
      </c>
      <c r="D7" t="n">
        <v>0</v>
      </c>
      <c r="E7" t="n">
        <v>0.00000899025705331473</v>
      </c>
      <c r="F7" t="n">
        <v>0</v>
      </c>
      <c r="G7" t="n">
        <v>0.00106844010076574</v>
      </c>
      <c r="H7" t="n">
        <v>0.395930427780768</v>
      </c>
      <c r="I7" t="n">
        <v>0.00507515481499449</v>
      </c>
      <c r="J7" t="n">
        <v>0.0898238548908428</v>
      </c>
      <c r="K7" t="n">
        <v>0.0000355706692112077</v>
      </c>
      <c r="L7" t="n">
        <v>0.0000198611505462586</v>
      </c>
      <c r="M7" t="n">
        <v>0.00000662038351541952</v>
      </c>
      <c r="N7" t="n">
        <v>0.0751458946951523</v>
      </c>
      <c r="O7" t="n">
        <v>0.000249816042192868</v>
      </c>
      <c r="P7" t="n">
        <v>0.00224834437973581</v>
      </c>
      <c r="Q7" t="n">
        <v>0.00000144355473385754</v>
      </c>
      <c r="R7" t="n">
        <v>0</v>
      </c>
      <c r="S7" t="n">
        <v>0.00000580559505875906</v>
      </c>
      <c r="T7" t="n">
        <v>0.0000025552558398659</v>
      </c>
      <c r="U7" t="n">
        <v>0</v>
      </c>
      <c r="V7" t="n">
        <v>0.00500421618420701</v>
      </c>
      <c r="W7" t="n">
        <v>0.0778546257116332</v>
      </c>
      <c r="X7" t="n">
        <v>0.00650573107754989</v>
      </c>
      <c r="Y7" t="n">
        <v>0.0349648571077951</v>
      </c>
      <c r="Z7" t="n">
        <v>0</v>
      </c>
      <c r="AA7" t="n">
        <v>0.000000730124471183237</v>
      </c>
      <c r="AB7" t="n">
        <v>0.00442858193465502</v>
      </c>
      <c r="AC7" t="n">
        <v>0.0112205934188526</v>
      </c>
      <c r="AD7" t="n">
        <v>0.08939659465331</v>
      </c>
      <c r="AE7" t="n">
        <v>0.00050122384011609</v>
      </c>
      <c r="AF7" t="n">
        <v>0.0366165880563127</v>
      </c>
      <c r="AG7" t="n">
        <v>0.00333798050420243</v>
      </c>
      <c r="AH7" t="n">
        <v>0.0076331229546149</v>
      </c>
      <c r="AI7" t="n">
        <v>0.00000546500800214066</v>
      </c>
      <c r="AJ7" t="n">
        <v>0</v>
      </c>
      <c r="AK7" t="n">
        <v>0.000447379019886824</v>
      </c>
      <c r="AL7" t="n">
        <v>0.00730556804213859</v>
      </c>
      <c r="AM7" t="n">
        <v>0.0780919691915026</v>
      </c>
      <c r="AN7" t="n">
        <v>0.000505332525053989</v>
      </c>
      <c r="AO7" t="n">
        <v>0.04046434212131</v>
      </c>
      <c r="AP7" t="n">
        <v>0.0255406973350151</v>
      </c>
      <c r="AQ7" t="n">
        <v>0</v>
      </c>
    </row>
    <row r="8">
      <c r="A8" t="s">
        <v>603</v>
      </c>
      <c r="B8" t="n">
        <v>0.00147747650163524</v>
      </c>
      <c r="C8" t="n">
        <v>0</v>
      </c>
      <c r="D8" t="n">
        <v>0</v>
      </c>
      <c r="E8" t="n">
        <v>0.000702104079639578</v>
      </c>
      <c r="F8" t="n">
        <v>0.000102649250156932</v>
      </c>
      <c r="G8" t="n">
        <v>0.00144714753182978</v>
      </c>
      <c r="H8" t="n">
        <v>0.0031595773241361</v>
      </c>
      <c r="I8" t="n">
        <v>0.265905436409473</v>
      </c>
      <c r="J8" t="n">
        <v>0.0908428741063605</v>
      </c>
      <c r="K8" t="n">
        <v>0</v>
      </c>
      <c r="L8" t="n">
        <v>0.00117212625192575</v>
      </c>
      <c r="M8" t="n">
        <v>0.000390708750641917</v>
      </c>
      <c r="N8" t="n">
        <v>0.0441153264470875</v>
      </c>
      <c r="O8" t="n">
        <v>0.000147928575264255</v>
      </c>
      <c r="P8" t="n">
        <v>0.0013313571773783</v>
      </c>
      <c r="Q8" t="n">
        <v>0.00178117402718928</v>
      </c>
      <c r="R8" t="n">
        <v>0.00145732420406396</v>
      </c>
      <c r="S8" t="n">
        <v>0.00184347440777399</v>
      </c>
      <c r="T8" t="n">
        <v>0.00053102609239189</v>
      </c>
      <c r="U8" t="n">
        <v>0.0108359619362371</v>
      </c>
      <c r="V8" t="n">
        <v>0.00864129547851176</v>
      </c>
      <c r="W8" t="n">
        <v>0.0536395996888752</v>
      </c>
      <c r="X8" t="n">
        <v>0.00118099514814207</v>
      </c>
      <c r="Y8" t="n">
        <v>0.0571385187716081</v>
      </c>
      <c r="Z8" t="n">
        <v>0.0000269578016112616</v>
      </c>
      <c r="AA8" t="n">
        <v>0.0000112387556706023</v>
      </c>
      <c r="AB8" t="n">
        <v>0.000456844260788523</v>
      </c>
      <c r="AC8" t="n">
        <v>0.300424075059366</v>
      </c>
      <c r="AD8" t="n">
        <v>0.0462185089025836</v>
      </c>
      <c r="AE8" t="n">
        <v>0.0100944889795763</v>
      </c>
      <c r="AF8" t="n">
        <v>0.01527477227741</v>
      </c>
      <c r="AG8" t="n">
        <v>0.00116605674845112</v>
      </c>
      <c r="AH8" t="n">
        <v>0.0029260973291366</v>
      </c>
      <c r="AI8" t="n">
        <v>0.00215121954497101</v>
      </c>
      <c r="AJ8" t="n">
        <v>0.000911537104570364</v>
      </c>
      <c r="AK8" t="n">
        <v>0.0268263370009644</v>
      </c>
      <c r="AL8" t="n">
        <v>0.0123953150483257</v>
      </c>
      <c r="AM8" t="n">
        <v>0.0232486956413319</v>
      </c>
      <c r="AN8" t="n">
        <v>0.000134610283214709</v>
      </c>
      <c r="AO8" t="n">
        <v>0.00652536661819298</v>
      </c>
      <c r="AP8" t="n">
        <v>0.00336379648351254</v>
      </c>
      <c r="AQ8" t="n">
        <v>0</v>
      </c>
    </row>
    <row r="9">
      <c r="A9" t="s">
        <v>604</v>
      </c>
      <c r="B9" t="n">
        <v>0.00055587597598021</v>
      </c>
      <c r="C9" t="n">
        <v>0</v>
      </c>
      <c r="D9" t="n">
        <v>0.0000000211245913284064</v>
      </c>
      <c r="E9" t="n">
        <v>0.000317009049907582</v>
      </c>
      <c r="F9" t="n">
        <v>0.000011784198396676</v>
      </c>
      <c r="G9" t="n">
        <v>0.0403675790418001</v>
      </c>
      <c r="H9" t="n">
        <v>0.00632104488491352</v>
      </c>
      <c r="I9" t="n">
        <v>0.00403086154700152</v>
      </c>
      <c r="J9" t="n">
        <v>0.457926520011565</v>
      </c>
      <c r="K9" t="n">
        <v>0.000147077756466035</v>
      </c>
      <c r="L9" t="n">
        <v>0.0113795541452875</v>
      </c>
      <c r="M9" t="n">
        <v>0.00379318471509582</v>
      </c>
      <c r="N9" t="n">
        <v>0.039293960740946</v>
      </c>
      <c r="O9" t="n">
        <v>0.000503789644539339</v>
      </c>
      <c r="P9" t="n">
        <v>0.00453410680085405</v>
      </c>
      <c r="Q9" t="n">
        <v>0.00220425489849264</v>
      </c>
      <c r="R9" t="n">
        <v>0.00179859770357992</v>
      </c>
      <c r="S9" t="n">
        <v>0.00694598303134817</v>
      </c>
      <c r="T9" t="n">
        <v>0.000480595990060743</v>
      </c>
      <c r="U9" t="n">
        <v>0.00839942460991766</v>
      </c>
      <c r="V9" t="n">
        <v>0.00731346079028796</v>
      </c>
      <c r="W9" t="n">
        <v>0.03159983151356</v>
      </c>
      <c r="X9" t="n">
        <v>0.00102440862458562</v>
      </c>
      <c r="Y9" t="n">
        <v>0.00757170929024911</v>
      </c>
      <c r="Z9" t="n">
        <v>0.0000855372911228668</v>
      </c>
      <c r="AA9" t="n">
        <v>0.0000349518333517504</v>
      </c>
      <c r="AB9" t="n">
        <v>0.00209720943259008</v>
      </c>
      <c r="AC9" t="n">
        <v>0.00819066651619997</v>
      </c>
      <c r="AD9" t="n">
        <v>0.0876437941754397</v>
      </c>
      <c r="AE9" t="n">
        <v>0.00815690790644499</v>
      </c>
      <c r="AF9" t="n">
        <v>0.0343608585675988</v>
      </c>
      <c r="AG9" t="n">
        <v>0.00707722545692484</v>
      </c>
      <c r="AH9" t="n">
        <v>0.00177614508516347</v>
      </c>
      <c r="AI9" t="n">
        <v>0.00624629909866341</v>
      </c>
      <c r="AJ9" t="n">
        <v>0.0179286271918907</v>
      </c>
      <c r="AK9" t="n">
        <v>0.00171224480982156</v>
      </c>
      <c r="AL9" t="n">
        <v>0.0568844000273338</v>
      </c>
      <c r="AM9" t="n">
        <v>0.0917914415276183</v>
      </c>
      <c r="AN9" t="n">
        <v>0.00193567780277882</v>
      </c>
      <c r="AO9" t="n">
        <v>0.0279951505859122</v>
      </c>
      <c r="AP9" t="n">
        <v>0.00956222660171792</v>
      </c>
      <c r="AQ9" t="n">
        <v>0</v>
      </c>
    </row>
    <row r="10">
      <c r="A10" t="s">
        <v>605</v>
      </c>
      <c r="B10" t="n">
        <v>0.0136342035518306</v>
      </c>
      <c r="C10" t="n">
        <v>0</v>
      </c>
      <c r="D10" t="n">
        <v>0.00000116579169518754</v>
      </c>
      <c r="E10" t="n">
        <v>0.00875162045469515</v>
      </c>
      <c r="F10" t="n">
        <v>0.00042224601898397</v>
      </c>
      <c r="G10" t="n">
        <v>0.00420497972648047</v>
      </c>
      <c r="H10" t="n">
        <v>0.00168317147954882</v>
      </c>
      <c r="I10" t="n">
        <v>0.00438380238402587</v>
      </c>
      <c r="J10" t="n">
        <v>0.0252890544872405</v>
      </c>
      <c r="K10" t="n">
        <v>0.0100576705565947</v>
      </c>
      <c r="L10" t="n">
        <v>0.0315650259388949</v>
      </c>
      <c r="M10" t="n">
        <v>0.010521675312965</v>
      </c>
      <c r="N10" t="n">
        <v>0.00725284606647257</v>
      </c>
      <c r="O10" t="n">
        <v>0.000219198419024573</v>
      </c>
      <c r="P10" t="n">
        <v>0.00197278577122116</v>
      </c>
      <c r="Q10" t="n">
        <v>0.00300295549902923</v>
      </c>
      <c r="R10" t="n">
        <v>0.00212300820601069</v>
      </c>
      <c r="S10" t="n">
        <v>0.0090436197464631</v>
      </c>
      <c r="T10" t="n">
        <v>0.000176645955168125</v>
      </c>
      <c r="U10" t="n">
        <v>0.00411364492468547</v>
      </c>
      <c r="V10" t="n">
        <v>0.0054129796244339</v>
      </c>
      <c r="W10" t="n">
        <v>0.00316295988510552</v>
      </c>
      <c r="X10" t="n">
        <v>0.000515724384562835</v>
      </c>
      <c r="Y10" t="n">
        <v>0.0021804562203546</v>
      </c>
      <c r="Z10" t="n">
        <v>0.0657476002877038</v>
      </c>
      <c r="AA10" t="n">
        <v>0.018291254536557</v>
      </c>
      <c r="AB10" t="n">
        <v>0.0170430159544798</v>
      </c>
      <c r="AC10" t="n">
        <v>0.0986852774453879</v>
      </c>
      <c r="AD10" t="n">
        <v>0.0206886458222373</v>
      </c>
      <c r="AE10" t="n">
        <v>0.129549713663059</v>
      </c>
      <c r="AF10" t="n">
        <v>0.0161712692402443</v>
      </c>
      <c r="AG10" t="n">
        <v>0.000756114462266386</v>
      </c>
      <c r="AH10" t="n">
        <v>0.00102356109622353</v>
      </c>
      <c r="AI10" t="n">
        <v>0.0017891531431521</v>
      </c>
      <c r="AJ10" t="n">
        <v>0.00831324217437646</v>
      </c>
      <c r="AK10" t="n">
        <v>0.00751068484576438</v>
      </c>
      <c r="AL10" t="n">
        <v>0.0221031884634709</v>
      </c>
      <c r="AM10" t="n">
        <v>0.424019913322309</v>
      </c>
      <c r="AN10" t="n">
        <v>0.00212458130126192</v>
      </c>
      <c r="AO10" t="n">
        <v>0.00738367379228775</v>
      </c>
      <c r="AP10" t="n">
        <v>0.00910767004373191</v>
      </c>
      <c r="AQ10" t="n">
        <v>0</v>
      </c>
    </row>
    <row r="11">
      <c r="A11" t="s">
        <v>606</v>
      </c>
      <c r="B11" t="n">
        <v>0.0105139785134922</v>
      </c>
      <c r="C11" t="n">
        <v>0</v>
      </c>
      <c r="D11" t="n">
        <v>0.000000661313950530863</v>
      </c>
      <c r="E11" t="n">
        <v>0.00166659327454257</v>
      </c>
      <c r="F11" t="n">
        <v>0.000143745771232638</v>
      </c>
      <c r="G11" t="n">
        <v>0.0065716098545921</v>
      </c>
      <c r="H11" t="n">
        <v>0.091827875682534</v>
      </c>
      <c r="I11" t="n">
        <v>0.00530680539876695</v>
      </c>
      <c r="J11" t="n">
        <v>0.0369715323256187</v>
      </c>
      <c r="K11" t="n">
        <v>0.0054648504797844</v>
      </c>
      <c r="L11" t="n">
        <v>0.221778228604926</v>
      </c>
      <c r="M11" t="n">
        <v>0.073926076201642</v>
      </c>
      <c r="N11" t="n">
        <v>0.271043007647941</v>
      </c>
      <c r="O11" t="n">
        <v>0.000607385773207411</v>
      </c>
      <c r="P11" t="n">
        <v>0.0054664719588667</v>
      </c>
      <c r="Q11" t="n">
        <v>0.00129201783107186</v>
      </c>
      <c r="R11" t="n">
        <v>0.000875650336064346</v>
      </c>
      <c r="S11" t="n">
        <v>0.0100271681971031</v>
      </c>
      <c r="T11" t="n">
        <v>0.000810173394497624</v>
      </c>
      <c r="U11" t="n">
        <v>0.00687737201670707</v>
      </c>
      <c r="V11" t="n">
        <v>0.00395308594593797</v>
      </c>
      <c r="W11" t="n">
        <v>0.0310176484768149</v>
      </c>
      <c r="X11" t="n">
        <v>0.00108039072756297</v>
      </c>
      <c r="Y11" t="n">
        <v>0.00813783827044989</v>
      </c>
      <c r="Z11" t="n">
        <v>0.000910587860035023</v>
      </c>
      <c r="AA11" t="n">
        <v>0.000253182084761783</v>
      </c>
      <c r="AB11" t="n">
        <v>0.00478546202743624</v>
      </c>
      <c r="AC11" t="n">
        <v>0.0150420732819826</v>
      </c>
      <c r="AD11" t="n">
        <v>0.00308259038692313</v>
      </c>
      <c r="AE11" t="n">
        <v>0.00108866052217363</v>
      </c>
      <c r="AF11" t="n">
        <v>0.00223554339459272</v>
      </c>
      <c r="AG11" t="n">
        <v>0.000466890376498768</v>
      </c>
      <c r="AH11" t="n">
        <v>0.000794389244501655</v>
      </c>
      <c r="AI11" t="n">
        <v>0.000385785974126649</v>
      </c>
      <c r="AJ11" t="n">
        <v>0.00011162540430648</v>
      </c>
      <c r="AK11" t="n">
        <v>0.0102553458770234</v>
      </c>
      <c r="AL11" t="n">
        <v>0.0460069090926457</v>
      </c>
      <c r="AM11" t="n">
        <v>0.0584065245205959</v>
      </c>
      <c r="AN11" t="n">
        <v>0.000459157230431058</v>
      </c>
      <c r="AO11" t="n">
        <v>0.0532992835745761</v>
      </c>
      <c r="AP11" t="n">
        <v>0.00705582115008159</v>
      </c>
      <c r="AQ11" t="n">
        <v>0</v>
      </c>
    </row>
    <row r="12">
      <c r="A12" t="s">
        <v>607</v>
      </c>
      <c r="B12" t="n">
        <v>0.00220132664594939</v>
      </c>
      <c r="C12" t="n">
        <v>0</v>
      </c>
      <c r="D12" t="n">
        <v>0.0000000250177470036668</v>
      </c>
      <c r="E12" t="n">
        <v>0.00365138918852886</v>
      </c>
      <c r="F12" t="n">
        <v>0.000224460016997884</v>
      </c>
      <c r="G12" t="n">
        <v>0.0350734009594926</v>
      </c>
      <c r="H12" t="n">
        <v>0.00764688247846394</v>
      </c>
      <c r="I12" t="n">
        <v>0.00588369093868355</v>
      </c>
      <c r="J12" t="n">
        <v>0.0347913243387836</v>
      </c>
      <c r="K12" t="n">
        <v>0.000294676443916309</v>
      </c>
      <c r="L12" t="n">
        <v>0.021773809495079</v>
      </c>
      <c r="M12" t="n">
        <v>0.00725793649835968</v>
      </c>
      <c r="N12" t="n">
        <v>0.201242557539621</v>
      </c>
      <c r="O12" t="n">
        <v>0.000433104499865966</v>
      </c>
      <c r="P12" t="n">
        <v>0.00389794049879369</v>
      </c>
      <c r="Q12" t="n">
        <v>0.00118917811631851</v>
      </c>
      <c r="R12" t="n">
        <v>0.000963179462323732</v>
      </c>
      <c r="S12" t="n">
        <v>0.0107148230809031</v>
      </c>
      <c r="T12" t="n">
        <v>0.0026712435813126</v>
      </c>
      <c r="U12" t="n">
        <v>0.0180031791144155</v>
      </c>
      <c r="V12" t="n">
        <v>0.0501922489988417</v>
      </c>
      <c r="W12" t="n">
        <v>0.193222405774175</v>
      </c>
      <c r="X12" t="n">
        <v>0.00774461936444031</v>
      </c>
      <c r="Y12" t="n">
        <v>0.0208986073394613</v>
      </c>
      <c r="Z12" t="n">
        <v>0.0000696369448767724</v>
      </c>
      <c r="AA12" t="n">
        <v>0.0000476973006070626</v>
      </c>
      <c r="AB12" t="n">
        <v>0.00276787940826423</v>
      </c>
      <c r="AC12" t="n">
        <v>0.0992455699121281</v>
      </c>
      <c r="AD12" t="n">
        <v>0.0721412395302618</v>
      </c>
      <c r="AE12" t="n">
        <v>0.00986812398007335</v>
      </c>
      <c r="AF12" t="n">
        <v>0.0223164706695786</v>
      </c>
      <c r="AG12" t="n">
        <v>0.00326140879459429</v>
      </c>
      <c r="AH12" t="n">
        <v>0.00885657138219423</v>
      </c>
      <c r="AI12" t="n">
        <v>0.00326728736659114</v>
      </c>
      <c r="AJ12" t="n">
        <v>0.00246245896473633</v>
      </c>
      <c r="AK12" t="n">
        <v>0.0011662969733619</v>
      </c>
      <c r="AL12" t="n">
        <v>0.02656742711592</v>
      </c>
      <c r="AM12" t="n">
        <v>0.0689765229888082</v>
      </c>
      <c r="AN12" t="n">
        <v>0.00116462780028238</v>
      </c>
      <c r="AO12" t="n">
        <v>0.0374031490763649</v>
      </c>
      <c r="AP12" t="n">
        <v>0.0104456223988822</v>
      </c>
      <c r="AQ12" t="n">
        <v>0</v>
      </c>
    </row>
    <row r="13">
      <c r="A13" t="s">
        <v>608</v>
      </c>
      <c r="B13" t="n">
        <v>0.00028071886940983</v>
      </c>
      <c r="C13" t="n">
        <v>0</v>
      </c>
      <c r="D13" t="n">
        <v>0.000000602656780504263</v>
      </c>
      <c r="E13" t="n">
        <v>0.00193272855333449</v>
      </c>
      <c r="F13" t="n">
        <v>0.000343583265144527</v>
      </c>
      <c r="G13" t="n">
        <v>0.0149840303625399</v>
      </c>
      <c r="H13" t="n">
        <v>0.00129058688166209</v>
      </c>
      <c r="I13" t="n">
        <v>0.00940489758829557</v>
      </c>
      <c r="J13" t="n">
        <v>0.00888513381804038</v>
      </c>
      <c r="K13" t="n">
        <v>0.00149924422603249</v>
      </c>
      <c r="L13" t="n">
        <v>0.00645960372622758</v>
      </c>
      <c r="M13" t="n">
        <v>0.00215320124207586</v>
      </c>
      <c r="N13" t="n">
        <v>0.0414600342686794</v>
      </c>
      <c r="O13" t="n">
        <v>0.0119180733852532</v>
      </c>
      <c r="P13" t="n">
        <v>0.107262660467279</v>
      </c>
      <c r="Q13" t="n">
        <v>0.008980365652765</v>
      </c>
      <c r="R13" t="n">
        <v>0.00729779091925334</v>
      </c>
      <c r="S13" t="n">
        <v>0.0149625312109686</v>
      </c>
      <c r="T13" t="n">
        <v>0.000638087739523795</v>
      </c>
      <c r="U13" t="n">
        <v>0.0318911008677973</v>
      </c>
      <c r="V13" t="n">
        <v>0.0177279380962626</v>
      </c>
      <c r="W13" t="n">
        <v>0.116599028905345</v>
      </c>
      <c r="X13" t="n">
        <v>0.00175316014478985</v>
      </c>
      <c r="Y13" t="n">
        <v>0.00671451251307924</v>
      </c>
      <c r="Z13" t="n">
        <v>0.000301464502975795</v>
      </c>
      <c r="AA13" t="n">
        <v>0.0000837401397154987</v>
      </c>
      <c r="AB13" t="n">
        <v>0.00428031980336148</v>
      </c>
      <c r="AC13" t="n">
        <v>0.441553539683607</v>
      </c>
      <c r="AD13" t="n">
        <v>0.00822504196051041</v>
      </c>
      <c r="AE13" t="n">
        <v>0.00172944916355405</v>
      </c>
      <c r="AF13" t="n">
        <v>0.0175467864848716</v>
      </c>
      <c r="AG13" t="n">
        <v>0.00354488855881629</v>
      </c>
      <c r="AH13" t="n">
        <v>0.0106213162584599</v>
      </c>
      <c r="AI13" t="n">
        <v>0.0017952007564538</v>
      </c>
      <c r="AJ13" t="n">
        <v>0.000335529150915218</v>
      </c>
      <c r="AK13" t="n">
        <v>0.000851716934065474</v>
      </c>
      <c r="AL13" t="n">
        <v>0.0282541154377861</v>
      </c>
      <c r="AM13" t="n">
        <v>0.0318462842175885</v>
      </c>
      <c r="AN13" t="n">
        <v>0.000281697810139271</v>
      </c>
      <c r="AO13" t="n">
        <v>0.0246376234690547</v>
      </c>
      <c r="AP13" t="n">
        <v>0.00967167030758514</v>
      </c>
      <c r="AQ13" t="n">
        <v>0</v>
      </c>
    </row>
    <row r="14">
      <c r="A14" t="s">
        <v>609</v>
      </c>
      <c r="B14" t="n">
        <v>0.00028071886940983</v>
      </c>
      <c r="C14" t="n">
        <v>0</v>
      </c>
      <c r="D14" t="n">
        <v>0.000000602656780504263</v>
      </c>
      <c r="E14" t="n">
        <v>0.00193272855333449</v>
      </c>
      <c r="F14" t="n">
        <v>0.000343583265144527</v>
      </c>
      <c r="G14" t="n">
        <v>0.0149840303625399</v>
      </c>
      <c r="H14" t="n">
        <v>0.00129058688166209</v>
      </c>
      <c r="I14" t="n">
        <v>0.00940489758829557</v>
      </c>
      <c r="J14" t="n">
        <v>0.00888513381804038</v>
      </c>
      <c r="K14" t="n">
        <v>0.00149924422603249</v>
      </c>
      <c r="L14" t="n">
        <v>0.00645960372622758</v>
      </c>
      <c r="M14" t="n">
        <v>0.00215320124207586</v>
      </c>
      <c r="N14" t="n">
        <v>0.0414600342686794</v>
      </c>
      <c r="O14" t="n">
        <v>0.0119180733852532</v>
      </c>
      <c r="P14" t="n">
        <v>0.107262660467279</v>
      </c>
      <c r="Q14" t="n">
        <v>0.008980365652765</v>
      </c>
      <c r="R14" t="n">
        <v>0.00729779091925334</v>
      </c>
      <c r="S14" t="n">
        <v>0.0149625312109686</v>
      </c>
      <c r="T14" t="n">
        <v>0.000638087739523795</v>
      </c>
      <c r="U14" t="n">
        <v>0.0318911008677973</v>
      </c>
      <c r="V14" t="n">
        <v>0.0177279380962626</v>
      </c>
      <c r="W14" t="n">
        <v>0.116599028905345</v>
      </c>
      <c r="X14" t="n">
        <v>0.00175316014478985</v>
      </c>
      <c r="Y14" t="n">
        <v>0.00671451251307924</v>
      </c>
      <c r="Z14" t="n">
        <v>0.000301464502975795</v>
      </c>
      <c r="AA14" t="n">
        <v>0.0000837401397154987</v>
      </c>
      <c r="AB14" t="n">
        <v>0.00428031980336148</v>
      </c>
      <c r="AC14" t="n">
        <v>0.441553539683607</v>
      </c>
      <c r="AD14" t="n">
        <v>0.00822504196051041</v>
      </c>
      <c r="AE14" t="n">
        <v>0.00172944916355405</v>
      </c>
      <c r="AF14" t="n">
        <v>0.0175467864848716</v>
      </c>
      <c r="AG14" t="n">
        <v>0.00354488855881629</v>
      </c>
      <c r="AH14" t="n">
        <v>0.0106213162584599</v>
      </c>
      <c r="AI14" t="n">
        <v>0.0017952007564538</v>
      </c>
      <c r="AJ14" t="n">
        <v>0.000335529150915218</v>
      </c>
      <c r="AK14" t="n">
        <v>0.000851716934065474</v>
      </c>
      <c r="AL14" t="n">
        <v>0.0282541154377861</v>
      </c>
      <c r="AM14" t="n">
        <v>0.0318462842175885</v>
      </c>
      <c r="AN14" t="n">
        <v>0.000281697810139271</v>
      </c>
      <c r="AO14" t="n">
        <v>0.0246376234690547</v>
      </c>
      <c r="AP14" t="n">
        <v>0.00967167030758514</v>
      </c>
      <c r="AQ14" t="n">
        <v>0</v>
      </c>
    </row>
    <row r="15">
      <c r="A15" t="s">
        <v>610</v>
      </c>
      <c r="B15" t="n">
        <v>0.000522244538860114</v>
      </c>
      <c r="C15" t="n">
        <v>0</v>
      </c>
      <c r="D15" t="n">
        <v>0.000000842966603940793</v>
      </c>
      <c r="E15" t="n">
        <v>0.0010026965240415</v>
      </c>
      <c r="F15" t="n">
        <v>0.0000919431461771982</v>
      </c>
      <c r="G15" t="n">
        <v>0.00302655392714483</v>
      </c>
      <c r="H15" t="n">
        <v>0.000954227122170726</v>
      </c>
      <c r="I15" t="n">
        <v>0.00112665824543327</v>
      </c>
      <c r="J15" t="n">
        <v>0.00809963806122305</v>
      </c>
      <c r="K15" t="n">
        <v>0.000312380373379134</v>
      </c>
      <c r="L15" t="n">
        <v>0.00106735545738601</v>
      </c>
      <c r="M15" t="n">
        <v>0.000355785152462003</v>
      </c>
      <c r="N15" t="n">
        <v>0.01169637263767</v>
      </c>
      <c r="O15" t="n">
        <v>0.000419955695810327</v>
      </c>
      <c r="P15" t="n">
        <v>0.00377960126229295</v>
      </c>
      <c r="Q15" t="n">
        <v>0.123420033578999</v>
      </c>
      <c r="R15" t="n">
        <v>0.100969655180561</v>
      </c>
      <c r="S15" t="n">
        <v>0.207478109361845</v>
      </c>
      <c r="T15" t="n">
        <v>0.0039681255088787</v>
      </c>
      <c r="U15" t="n">
        <v>0.0909943391653705</v>
      </c>
      <c r="V15" t="n">
        <v>0.114542382360353</v>
      </c>
      <c r="W15" t="n">
        <v>0.234452840459056</v>
      </c>
      <c r="X15" t="n">
        <v>0.0135636078977763</v>
      </c>
      <c r="Y15" t="n">
        <v>0.0184605331263066</v>
      </c>
      <c r="Z15" t="n">
        <v>0.00201004059047539</v>
      </c>
      <c r="AA15" t="n">
        <v>0.000559199496998612</v>
      </c>
      <c r="AB15" t="n">
        <v>0.00199418912440696</v>
      </c>
      <c r="AC15" t="n">
        <v>0.0154841460986891</v>
      </c>
      <c r="AD15" t="n">
        <v>0.00316529419629382</v>
      </c>
      <c r="AE15" t="n">
        <v>0.00476460138449078</v>
      </c>
      <c r="AF15" t="n">
        <v>0.000862444359295478</v>
      </c>
      <c r="AG15" t="n">
        <v>0.000209497469347617</v>
      </c>
      <c r="AH15" t="n">
        <v>0.000547006512553909</v>
      </c>
      <c r="AI15" t="n">
        <v>0.000485715438013733</v>
      </c>
      <c r="AJ15" t="n">
        <v>0.000253525826841795</v>
      </c>
      <c r="AK15" t="n">
        <v>0.00364098207414292</v>
      </c>
      <c r="AL15" t="n">
        <v>0.00507906016355373</v>
      </c>
      <c r="AM15" t="n">
        <v>0.0163079196096812</v>
      </c>
      <c r="AN15" t="n">
        <v>0.000300383810363763</v>
      </c>
      <c r="AO15" t="n">
        <v>0.00110875177218167</v>
      </c>
      <c r="AP15" t="n">
        <v>0.00292136032286761</v>
      </c>
      <c r="AQ15" t="n">
        <v>0</v>
      </c>
    </row>
    <row r="16">
      <c r="A16" t="s">
        <v>611</v>
      </c>
      <c r="B16" t="n">
        <v>0.000109795749481083</v>
      </c>
      <c r="C16" t="n">
        <v>0</v>
      </c>
      <c r="D16" t="n">
        <v>0.000000832811842327049</v>
      </c>
      <c r="E16" t="n">
        <v>0.000758946959920171</v>
      </c>
      <c r="F16" t="n">
        <v>0.0000815531640332023</v>
      </c>
      <c r="G16" t="n">
        <v>0.00298948545447585</v>
      </c>
      <c r="H16" t="n">
        <v>0.00093129750368825</v>
      </c>
      <c r="I16" t="n">
        <v>0.00102420176616373</v>
      </c>
      <c r="J16" t="n">
        <v>0.00755892908035836</v>
      </c>
      <c r="K16" t="n">
        <v>0.0000058332636575006</v>
      </c>
      <c r="L16" t="n">
        <v>0.000108023045155617</v>
      </c>
      <c r="M16" t="n">
        <v>0.0000360076817185391</v>
      </c>
      <c r="N16" t="n">
        <v>0.0118361478728619</v>
      </c>
      <c r="O16" t="n">
        <v>0.000426270701499973</v>
      </c>
      <c r="P16" t="n">
        <v>0.00383643631349976</v>
      </c>
      <c r="Q16" t="n">
        <v>0.127207864064552</v>
      </c>
      <c r="R16" t="n">
        <v>0.104078967819389</v>
      </c>
      <c r="S16" t="n">
        <v>0.213720049634229</v>
      </c>
      <c r="T16" t="n">
        <v>0.00408739000248612</v>
      </c>
      <c r="U16" t="n">
        <v>0.0937272517015166</v>
      </c>
      <c r="V16" t="n">
        <v>0.117975148585412</v>
      </c>
      <c r="W16" t="n">
        <v>0.241728277420382</v>
      </c>
      <c r="X16" t="n">
        <v>0.0139740411330892</v>
      </c>
      <c r="Y16" t="n">
        <v>0.0189726379921177</v>
      </c>
      <c r="Z16" t="n">
        <v>0.00000511674125570114</v>
      </c>
      <c r="AA16" t="n">
        <v>0.00000142131701547254</v>
      </c>
      <c r="AB16" t="n">
        <v>0.00152081436770597</v>
      </c>
      <c r="AC16" t="n">
        <v>0.0128669776141807</v>
      </c>
      <c r="AD16" t="n">
        <v>0.00261408097507844</v>
      </c>
      <c r="AE16" t="n">
        <v>0.000839370346099822</v>
      </c>
      <c r="AF16" t="n">
        <v>0.00038089112360301</v>
      </c>
      <c r="AG16" t="n">
        <v>0.000192303126628857</v>
      </c>
      <c r="AH16" t="n">
        <v>0.000532016047672717</v>
      </c>
      <c r="AI16" t="n">
        <v>0.000444714600306453</v>
      </c>
      <c r="AJ16" t="n">
        <v>0</v>
      </c>
      <c r="AK16" t="n">
        <v>0.0035192569969189</v>
      </c>
      <c r="AL16" t="n">
        <v>0.00454355047346178</v>
      </c>
      <c r="AM16" t="n">
        <v>0.00348296202281417</v>
      </c>
      <c r="AN16" t="n">
        <v>0.000243001992287231</v>
      </c>
      <c r="AO16" t="n">
        <v>0.000911368300491409</v>
      </c>
      <c r="AP16" t="n">
        <v>0.00272676423294922</v>
      </c>
      <c r="AQ16" t="n">
        <v>0</v>
      </c>
    </row>
    <row r="17">
      <c r="A17" t="s">
        <v>612</v>
      </c>
      <c r="B17" t="n">
        <v>0.00202878922528396</v>
      </c>
      <c r="C17" t="n">
        <v>0</v>
      </c>
      <c r="D17" t="n">
        <v>0.00000184726372049982</v>
      </c>
      <c r="E17" t="n">
        <v>0.00172739075930806</v>
      </c>
      <c r="F17" t="n">
        <v>0.000137826417617662</v>
      </c>
      <c r="G17" t="n">
        <v>0.0212769955437231</v>
      </c>
      <c r="H17" t="n">
        <v>0.00669786992938385</v>
      </c>
      <c r="I17" t="n">
        <v>0.0107771240180488</v>
      </c>
      <c r="J17" t="n">
        <v>0.0437062088878994</v>
      </c>
      <c r="K17" t="n">
        <v>0.000532330796519904</v>
      </c>
      <c r="L17" t="n">
        <v>0.014742721847252</v>
      </c>
      <c r="M17" t="n">
        <v>0.00491424061575066</v>
      </c>
      <c r="N17" t="n">
        <v>0.0563250308006211</v>
      </c>
      <c r="O17" t="n">
        <v>0.00050935545580808</v>
      </c>
      <c r="P17" t="n">
        <v>0.00458419910227272</v>
      </c>
      <c r="Q17" t="n">
        <v>0.00591516809328113</v>
      </c>
      <c r="R17" t="n">
        <v>0.00482200744765964</v>
      </c>
      <c r="S17" t="n">
        <v>0.116293583119183</v>
      </c>
      <c r="T17" t="n">
        <v>0.00470841444792026</v>
      </c>
      <c r="U17" t="n">
        <v>0.0534179440493134</v>
      </c>
      <c r="V17" t="n">
        <v>0.0855414783369334</v>
      </c>
      <c r="W17" t="n">
        <v>0.15503563788588</v>
      </c>
      <c r="X17" t="n">
        <v>0.0227286474536598</v>
      </c>
      <c r="Y17" t="n">
        <v>0.0181913552369239</v>
      </c>
      <c r="Z17" t="n">
        <v>0.00203926061658557</v>
      </c>
      <c r="AA17" t="n">
        <v>0.000738456098509006</v>
      </c>
      <c r="AB17" t="n">
        <v>0.0168698734639197</v>
      </c>
      <c r="AC17" t="n">
        <v>0.203681805822269</v>
      </c>
      <c r="AD17" t="n">
        <v>0.0113758987680276</v>
      </c>
      <c r="AE17" t="n">
        <v>0.00920905599966116</v>
      </c>
      <c r="AF17" t="n">
        <v>0.0134369692732309</v>
      </c>
      <c r="AG17" t="n">
        <v>0.00592477530366007</v>
      </c>
      <c r="AH17" t="n">
        <v>0.0165111355669326</v>
      </c>
      <c r="AI17" t="n">
        <v>0.00397717950578604</v>
      </c>
      <c r="AJ17" t="n">
        <v>0.000669065556213712</v>
      </c>
      <c r="AK17" t="n">
        <v>0.00306079804739573</v>
      </c>
      <c r="AL17" t="n">
        <v>0.0185074567317731</v>
      </c>
      <c r="AM17" t="n">
        <v>0.0413364956092242</v>
      </c>
      <c r="AN17" t="n">
        <v>0.000547208988274843</v>
      </c>
      <c r="AO17" t="n">
        <v>0.00610526074132574</v>
      </c>
      <c r="AP17" t="n">
        <v>0.0113931371732462</v>
      </c>
      <c r="AQ17" t="n">
        <v>0</v>
      </c>
    </row>
    <row r="18">
      <c r="A18" t="s">
        <v>613</v>
      </c>
      <c r="B18" t="n">
        <v>0.000021691633251808</v>
      </c>
      <c r="C18" t="n">
        <v>0</v>
      </c>
      <c r="D18" t="n">
        <v>0.0000000289825905690993</v>
      </c>
      <c r="E18" t="n">
        <v>0.000119760256078516</v>
      </c>
      <c r="F18" t="n">
        <v>0.0000547915020719016</v>
      </c>
      <c r="G18" t="n">
        <v>0.00706756672782052</v>
      </c>
      <c r="H18" t="n">
        <v>0.00614616405409698</v>
      </c>
      <c r="I18" t="n">
        <v>0.00574321877667964</v>
      </c>
      <c r="J18" t="n">
        <v>0.000389430825437957</v>
      </c>
      <c r="K18" t="n">
        <v>0.000249851698794795</v>
      </c>
      <c r="L18" t="n">
        <v>0.0111226818492232</v>
      </c>
      <c r="M18" t="n">
        <v>0.00370756061640772</v>
      </c>
      <c r="N18" t="n">
        <v>0.0209849808462337</v>
      </c>
      <c r="O18" t="n">
        <v>0.000217024924011625</v>
      </c>
      <c r="P18" t="n">
        <v>0.00195322431610463</v>
      </c>
      <c r="Q18" t="n">
        <v>0.00223725191414001</v>
      </c>
      <c r="R18" t="n">
        <v>0.00182218275083908</v>
      </c>
      <c r="S18" t="n">
        <v>0.0266950948466504</v>
      </c>
      <c r="T18" t="n">
        <v>0.0442051457645173</v>
      </c>
      <c r="U18" t="n">
        <v>0.0208336065051332</v>
      </c>
      <c r="V18" t="n">
        <v>0.032742392010108</v>
      </c>
      <c r="W18" t="n">
        <v>0.219436361444388</v>
      </c>
      <c r="X18" t="n">
        <v>0.0433596731573011</v>
      </c>
      <c r="Y18" t="n">
        <v>0.00711187559020766</v>
      </c>
      <c r="Z18" t="n">
        <v>0.000275182570091172</v>
      </c>
      <c r="AA18" t="n">
        <v>0.000080011647187544</v>
      </c>
      <c r="AB18" t="n">
        <v>0.00993565047246587</v>
      </c>
      <c r="AC18" t="n">
        <v>0.0312882482418663</v>
      </c>
      <c r="AD18" t="n">
        <v>0.181184245459327</v>
      </c>
      <c r="AE18" t="n">
        <v>0.00284212818176494</v>
      </c>
      <c r="AF18" t="n">
        <v>0.00263003976575089</v>
      </c>
      <c r="AG18" t="n">
        <v>0.0208722938548528</v>
      </c>
      <c r="AH18" t="n">
        <v>0.0506796688308257</v>
      </c>
      <c r="AI18" t="n">
        <v>0.0228909759902665</v>
      </c>
      <c r="AJ18" t="n">
        <v>0.00787415816682966</v>
      </c>
      <c r="AK18" t="n">
        <v>0.00192121275307475</v>
      </c>
      <c r="AL18" t="n">
        <v>0.0885709145985499</v>
      </c>
      <c r="AM18" t="n">
        <v>0.0726486920148334</v>
      </c>
      <c r="AN18" t="n">
        <v>0.00171611683755649</v>
      </c>
      <c r="AO18" t="n">
        <v>0.0311362055651354</v>
      </c>
      <c r="AP18" t="n">
        <v>0.0172326940575325</v>
      </c>
      <c r="AQ18" t="n">
        <v>0</v>
      </c>
    </row>
    <row r="19">
      <c r="A19" t="s">
        <v>614</v>
      </c>
      <c r="B19" t="n">
        <v>0.00654268509770899</v>
      </c>
      <c r="C19" t="n">
        <v>0</v>
      </c>
      <c r="D19" t="n">
        <v>0.000000073948511538928</v>
      </c>
      <c r="E19" t="n">
        <v>0.000351079992114696</v>
      </c>
      <c r="F19" t="n">
        <v>0.000247271989988781</v>
      </c>
      <c r="G19" t="n">
        <v>0.00725925371843102</v>
      </c>
      <c r="H19" t="n">
        <v>0.00227796685030129</v>
      </c>
      <c r="I19" t="n">
        <v>0.00489831558134368</v>
      </c>
      <c r="J19" t="n">
        <v>0.0129418873010485</v>
      </c>
      <c r="K19" t="n">
        <v>0.000225121442187305</v>
      </c>
      <c r="L19" t="n">
        <v>0.00472824078925392</v>
      </c>
      <c r="M19" t="n">
        <v>0.00157608026308464</v>
      </c>
      <c r="N19" t="n">
        <v>0.0217477619884412</v>
      </c>
      <c r="O19" t="n">
        <v>0.0000930050199381308</v>
      </c>
      <c r="P19" t="n">
        <v>0.000837045179443178</v>
      </c>
      <c r="Q19" t="n">
        <v>0.00624890330981139</v>
      </c>
      <c r="R19" t="n">
        <v>0.00510526412830867</v>
      </c>
      <c r="S19" t="n">
        <v>0.0260756583065525</v>
      </c>
      <c r="T19" t="n">
        <v>0.00563968063540039</v>
      </c>
      <c r="U19" t="n">
        <v>0.179493916018301</v>
      </c>
      <c r="V19" t="n">
        <v>0.146034971375039</v>
      </c>
      <c r="W19" t="n">
        <v>0.0962917593003436</v>
      </c>
      <c r="X19" t="n">
        <v>0.00784609140118436</v>
      </c>
      <c r="Y19" t="n">
        <v>0.00530200836409037</v>
      </c>
      <c r="Z19" t="n">
        <v>0.000111366894074391</v>
      </c>
      <c r="AA19" t="n">
        <v>0.0000323937590720792</v>
      </c>
      <c r="AB19" t="n">
        <v>0.0181895542768131</v>
      </c>
      <c r="AC19" t="n">
        <v>0.238133425961963</v>
      </c>
      <c r="AD19" t="n">
        <v>0.0190453636550562</v>
      </c>
      <c r="AE19" t="n">
        <v>0.0023581451149514</v>
      </c>
      <c r="AF19" t="n">
        <v>0.0119974900726462</v>
      </c>
      <c r="AG19" t="n">
        <v>0.00533698421167634</v>
      </c>
      <c r="AH19" t="n">
        <v>0.015994106036627</v>
      </c>
      <c r="AI19" t="n">
        <v>0.010096345344813</v>
      </c>
      <c r="AJ19" t="n">
        <v>0.00087423290332595</v>
      </c>
      <c r="AK19" t="n">
        <v>0.00724902806632457</v>
      </c>
      <c r="AL19" t="n">
        <v>0.0397989117659201</v>
      </c>
      <c r="AM19" t="n">
        <v>0.0518910876036831</v>
      </c>
      <c r="AN19" t="n">
        <v>0.00143370545201084</v>
      </c>
      <c r="AO19" t="n">
        <v>0.0122141463541623</v>
      </c>
      <c r="AP19" t="n">
        <v>0.0234796705260528</v>
      </c>
      <c r="AQ19" t="n">
        <v>0</v>
      </c>
    </row>
    <row r="20">
      <c r="A20" t="s">
        <v>615</v>
      </c>
      <c r="B20" t="n">
        <v>0.00390127134373661</v>
      </c>
      <c r="C20" t="n">
        <v>0</v>
      </c>
      <c r="D20" t="n">
        <v>0.00000253480879973154</v>
      </c>
      <c r="E20" t="n">
        <v>0.0104751036686305</v>
      </c>
      <c r="F20" t="n">
        <v>0.00112377843653404</v>
      </c>
      <c r="G20" t="n">
        <v>0.00987909633678088</v>
      </c>
      <c r="H20" t="n">
        <v>0.000654682828253899</v>
      </c>
      <c r="I20" t="n">
        <v>0.00252983741801648</v>
      </c>
      <c r="J20" t="n">
        <v>0.0217862084987164</v>
      </c>
      <c r="K20" t="n">
        <v>0.0000412447406439423</v>
      </c>
      <c r="L20" t="n">
        <v>0.0106658024934737</v>
      </c>
      <c r="M20" t="n">
        <v>0.00355526749782458</v>
      </c>
      <c r="N20" t="n">
        <v>0.022083905847797</v>
      </c>
      <c r="O20" t="n">
        <v>0.0000548207473984943</v>
      </c>
      <c r="P20" t="n">
        <v>0.000493386726586449</v>
      </c>
      <c r="Q20" t="n">
        <v>0.00183144329990805</v>
      </c>
      <c r="R20" t="n">
        <v>0.00149708411663406</v>
      </c>
      <c r="S20" t="n">
        <v>0.024616661658876</v>
      </c>
      <c r="T20" t="n">
        <v>0.000548441733192231</v>
      </c>
      <c r="U20" t="n">
        <v>0.0223368889471927</v>
      </c>
      <c r="V20" t="n">
        <v>0.199018315348315</v>
      </c>
      <c r="W20" t="n">
        <v>0.331077908883724</v>
      </c>
      <c r="X20" t="n">
        <v>0.0102154491126716</v>
      </c>
      <c r="Y20" t="n">
        <v>0.00278157977041964</v>
      </c>
      <c r="Z20" t="n">
        <v>0.00597360861112962</v>
      </c>
      <c r="AA20" t="n">
        <v>0.00167566711950989</v>
      </c>
      <c r="AB20" t="n">
        <v>0.0443325205220264</v>
      </c>
      <c r="AC20" t="n">
        <v>0.117781238059181</v>
      </c>
      <c r="AD20" t="n">
        <v>0.0123319742192665</v>
      </c>
      <c r="AE20" t="n">
        <v>0.0315170014580439</v>
      </c>
      <c r="AF20" t="n">
        <v>0.00245931951290397</v>
      </c>
      <c r="AG20" t="n">
        <v>0.000870913835529037</v>
      </c>
      <c r="AH20" t="n">
        <v>0.00236360986370687</v>
      </c>
      <c r="AI20" t="n">
        <v>0.00519023334543871</v>
      </c>
      <c r="AJ20" t="n">
        <v>0.00195267371570074</v>
      </c>
      <c r="AK20" t="n">
        <v>0.00026815594202205</v>
      </c>
      <c r="AL20" t="n">
        <v>0.0268503120831872</v>
      </c>
      <c r="AM20" t="n">
        <v>0.0347225084534691</v>
      </c>
      <c r="AN20" t="n">
        <v>0.00356475704717782</v>
      </c>
      <c r="AO20" t="n">
        <v>0.00541129061163083</v>
      </c>
      <c r="AP20" t="n">
        <v>0.0215635013359499</v>
      </c>
      <c r="AQ20" t="n">
        <v>0</v>
      </c>
    </row>
    <row r="21">
      <c r="A21" t="s">
        <v>616</v>
      </c>
      <c r="B21" t="n">
        <v>0.000837486270769993</v>
      </c>
      <c r="C21" t="n">
        <v>0</v>
      </c>
      <c r="D21" t="n">
        <v>0.000000133109412193828</v>
      </c>
      <c r="E21" t="n">
        <v>0.0010401332096705</v>
      </c>
      <c r="F21" t="n">
        <v>0.0000629446432330395</v>
      </c>
      <c r="G21" t="n">
        <v>0.00575261177583838</v>
      </c>
      <c r="H21" t="n">
        <v>0.000763337890247732</v>
      </c>
      <c r="I21" t="n">
        <v>0.00534391833753334</v>
      </c>
      <c r="J21" t="n">
        <v>0.0083660336569642</v>
      </c>
      <c r="K21" t="n">
        <v>0.0000591044528060009</v>
      </c>
      <c r="L21" t="n">
        <v>0.00190181560429294</v>
      </c>
      <c r="M21" t="n">
        <v>0.000633938534764313</v>
      </c>
      <c r="N21" t="n">
        <v>0.00426853993499373</v>
      </c>
      <c r="O21" t="n">
        <v>0.000118784222087686</v>
      </c>
      <c r="P21" t="n">
        <v>0.00106905799878917</v>
      </c>
      <c r="Q21" t="n">
        <v>0.000861937660742166</v>
      </c>
      <c r="R21" t="n">
        <v>0.000703259215289384</v>
      </c>
      <c r="S21" t="n">
        <v>0.00369018472104855</v>
      </c>
      <c r="T21" t="n">
        <v>0.000622643942401307</v>
      </c>
      <c r="U21" t="n">
        <v>0.00373186739181069</v>
      </c>
      <c r="V21" t="n">
        <v>0.0315730449145385</v>
      </c>
      <c r="W21" t="n">
        <v>0.769113184503021</v>
      </c>
      <c r="X21" t="n">
        <v>0.00389395935419651</v>
      </c>
      <c r="Y21" t="n">
        <v>0.00216523950061893</v>
      </c>
      <c r="Z21" t="n">
        <v>0.0000589247678698932</v>
      </c>
      <c r="AA21" t="n">
        <v>0.0000165397057795579</v>
      </c>
      <c r="AB21" t="n">
        <v>0.005217897274859</v>
      </c>
      <c r="AC21" t="n">
        <v>0.00373180174607481</v>
      </c>
      <c r="AD21" t="n">
        <v>0.0335473882152823</v>
      </c>
      <c r="AE21" t="n">
        <v>0.0157545779382082</v>
      </c>
      <c r="AF21" t="n">
        <v>0.00277890459674843</v>
      </c>
      <c r="AG21" t="n">
        <v>0.000608113203527246</v>
      </c>
      <c r="AH21" t="n">
        <v>0.00137746736608373</v>
      </c>
      <c r="AI21" t="n">
        <v>0.000251393243352144</v>
      </c>
      <c r="AJ21" t="n">
        <v>0.000156334404814794</v>
      </c>
      <c r="AK21" t="n">
        <v>0</v>
      </c>
      <c r="AL21" t="n">
        <v>0.0295576296467424</v>
      </c>
      <c r="AM21" t="n">
        <v>0.0353526305505592</v>
      </c>
      <c r="AN21" t="n">
        <v>0.000509651615869287</v>
      </c>
      <c r="AO21" t="n">
        <v>0.00558580654938334</v>
      </c>
      <c r="AP21" t="n">
        <v>0.018921778329775</v>
      </c>
      <c r="AQ21" t="n">
        <v>0</v>
      </c>
    </row>
    <row r="22">
      <c r="A22" t="s">
        <v>617</v>
      </c>
      <c r="B22" t="n">
        <v>0.000038256898792142</v>
      </c>
      <c r="C22" t="n">
        <v>0</v>
      </c>
      <c r="D22" t="n">
        <v>0</v>
      </c>
      <c r="E22" t="n">
        <v>0.0000350169498489076</v>
      </c>
      <c r="F22" t="n">
        <v>0</v>
      </c>
      <c r="G22" t="n">
        <v>0</v>
      </c>
      <c r="H22" t="n">
        <v>0</v>
      </c>
      <c r="I22" t="n">
        <v>0.0000889917027237998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0.000558583998273463</v>
      </c>
      <c r="T22" t="n">
        <v>0</v>
      </c>
      <c r="U22" t="n">
        <v>0</v>
      </c>
      <c r="V22" t="n">
        <v>0.0014502877531481</v>
      </c>
      <c r="W22" t="n">
        <v>0.00870028002696189</v>
      </c>
      <c r="X22" t="n">
        <v>0.677515770471653</v>
      </c>
      <c r="Y22" t="n">
        <v>0</v>
      </c>
      <c r="Z22" t="n">
        <v>0</v>
      </c>
      <c r="AA22" t="n">
        <v>0</v>
      </c>
      <c r="AB22" t="n">
        <v>0.000954174419742136</v>
      </c>
      <c r="AC22" t="n">
        <v>0.000172997758074679</v>
      </c>
      <c r="AD22" t="n">
        <v>0.000296390092708036</v>
      </c>
      <c r="AE22" t="n">
        <v>0.0310470118766257</v>
      </c>
      <c r="AF22" t="n">
        <v>0</v>
      </c>
      <c r="AG22" t="n">
        <v>0.00000303604608832718</v>
      </c>
      <c r="AH22" t="n">
        <v>0.00000910813826498154</v>
      </c>
      <c r="AI22" t="n">
        <v>0</v>
      </c>
      <c r="AJ22" t="n">
        <v>0</v>
      </c>
      <c r="AK22" t="n">
        <v>0</v>
      </c>
      <c r="AL22" t="n">
        <v>0.00518792191820639</v>
      </c>
      <c r="AM22" t="n">
        <v>0.272777609724</v>
      </c>
      <c r="AN22" t="n">
        <v>0</v>
      </c>
      <c r="AO22" t="n">
        <v>0</v>
      </c>
      <c r="AP22" t="n">
        <v>0.00116456222488832</v>
      </c>
      <c r="AQ22" t="n">
        <v>0</v>
      </c>
    </row>
    <row r="23">
      <c r="A23" t="s">
        <v>618</v>
      </c>
      <c r="B23" t="n">
        <v>0.000287806697173411</v>
      </c>
      <c r="C23" t="n">
        <v>0</v>
      </c>
      <c r="D23" t="n">
        <v>0.000000032491007539657</v>
      </c>
      <c r="E23" t="n">
        <v>0.000250932626568874</v>
      </c>
      <c r="F23" t="n">
        <v>0.0000158401340034705</v>
      </c>
      <c r="G23" t="n">
        <v>0.000278525539952097</v>
      </c>
      <c r="H23" t="n">
        <v>0.00163868597819246</v>
      </c>
      <c r="I23" t="n">
        <v>0.00739773475412317</v>
      </c>
      <c r="J23" t="n">
        <v>0.000026963950759183</v>
      </c>
      <c r="K23" t="n">
        <v>0.00000192849697030992</v>
      </c>
      <c r="L23" t="n">
        <v>0.00270909724691147</v>
      </c>
      <c r="M23" t="n">
        <v>0.000903032415637157</v>
      </c>
      <c r="N23" t="n">
        <v>0.0128963022861621</v>
      </c>
      <c r="O23" t="n">
        <v>0.0000755680533638211</v>
      </c>
      <c r="P23" t="n">
        <v>0.00068011248027439</v>
      </c>
      <c r="Q23" t="n">
        <v>0.000130768466612832</v>
      </c>
      <c r="R23" t="n">
        <v>0.000106928347866598</v>
      </c>
      <c r="S23" t="n">
        <v>0.000814793341986828</v>
      </c>
      <c r="T23" t="n">
        <v>0.000138734816473871</v>
      </c>
      <c r="U23" t="n">
        <v>0.0147418586881852</v>
      </c>
      <c r="V23" t="n">
        <v>0.0371544050959558</v>
      </c>
      <c r="W23" t="n">
        <v>0.0662611544878822</v>
      </c>
      <c r="X23" t="n">
        <v>0.00181922836104689</v>
      </c>
      <c r="Y23" t="n">
        <v>0.0964433145187765</v>
      </c>
      <c r="Z23" t="n">
        <v>0</v>
      </c>
      <c r="AA23" t="n">
        <v>0.000000311682072877539</v>
      </c>
      <c r="AB23" t="n">
        <v>0.00477105287586121</v>
      </c>
      <c r="AC23" t="n">
        <v>0.163295880749624</v>
      </c>
      <c r="AD23" t="n">
        <v>0.0557951076184998</v>
      </c>
      <c r="AE23" t="n">
        <v>0.00282892921525396</v>
      </c>
      <c r="AF23" t="n">
        <v>0.0139555374755583</v>
      </c>
      <c r="AG23" t="n">
        <v>0.000427558905745021</v>
      </c>
      <c r="AH23" t="n">
        <v>0.00123314335156621</v>
      </c>
      <c r="AI23" t="n">
        <v>0.00115761050516905</v>
      </c>
      <c r="AJ23" t="n">
        <v>0.000517083406674096</v>
      </c>
      <c r="AK23" t="n">
        <v>0.0365259755666862</v>
      </c>
      <c r="AL23" t="n">
        <v>0.041868559324504</v>
      </c>
      <c r="AM23" t="n">
        <v>0.101123656201965</v>
      </c>
      <c r="AN23" t="n">
        <v>0.0018228461775589</v>
      </c>
      <c r="AO23" t="n">
        <v>0.303995693258413</v>
      </c>
      <c r="AP23" t="n">
        <v>0.0259073044089626</v>
      </c>
      <c r="AQ23" t="n">
        <v>0</v>
      </c>
    </row>
    <row r="24">
      <c r="A24" t="s">
        <v>619</v>
      </c>
      <c r="B24" t="n">
        <v>0.00806424244777258</v>
      </c>
      <c r="C24" t="n">
        <v>0</v>
      </c>
      <c r="D24" t="n">
        <v>0.00000648377023134828</v>
      </c>
      <c r="E24" t="n">
        <v>0.00730052116136841</v>
      </c>
      <c r="F24" t="n">
        <v>0.000113344447821692</v>
      </c>
      <c r="G24" t="n">
        <v>0.0121748770993411</v>
      </c>
      <c r="H24" t="n">
        <v>0.0136593449566151</v>
      </c>
      <c r="I24" t="n">
        <v>0.00616880400350919</v>
      </c>
      <c r="J24" t="n">
        <v>0.0451299401362761</v>
      </c>
      <c r="K24" t="n">
        <v>0.0305030307198004</v>
      </c>
      <c r="L24" t="n">
        <v>0.0237907330367465</v>
      </c>
      <c r="M24" t="n">
        <v>0.00793024434558217</v>
      </c>
      <c r="N24" t="n">
        <v>0.0376918987347122</v>
      </c>
      <c r="O24" t="n">
        <v>0.00115335298540772</v>
      </c>
      <c r="P24" t="n">
        <v>0.0103801768686695</v>
      </c>
      <c r="Q24" t="n">
        <v>0.00885021976294648</v>
      </c>
      <c r="R24" t="n">
        <v>0.00622826477599794</v>
      </c>
      <c r="S24" t="n">
        <v>0.0150628471116214</v>
      </c>
      <c r="T24" t="n">
        <v>0.00107392200502796</v>
      </c>
      <c r="U24" t="n">
        <v>0.00508823629461236</v>
      </c>
      <c r="V24" t="n">
        <v>0.00874834911619349</v>
      </c>
      <c r="W24" t="n">
        <v>0.0188116151186524</v>
      </c>
      <c r="X24" t="n">
        <v>0.00565420343361006</v>
      </c>
      <c r="Y24" t="n">
        <v>0.00333702052986289</v>
      </c>
      <c r="Z24" t="n">
        <v>0.12175369588037</v>
      </c>
      <c r="AA24" t="n">
        <v>0.0339993856271378</v>
      </c>
      <c r="AB24" t="n">
        <v>0.0207312801633464</v>
      </c>
      <c r="AC24" t="n">
        <v>0.0253295750799378</v>
      </c>
      <c r="AD24" t="n">
        <v>0.125685248339648</v>
      </c>
      <c r="AE24" t="n">
        <v>0.0281279566190591</v>
      </c>
      <c r="AF24" t="n">
        <v>0.0656287792033356</v>
      </c>
      <c r="AG24" t="n">
        <v>0.00351652787164917</v>
      </c>
      <c r="AH24" t="n">
        <v>0.00814331824603571</v>
      </c>
      <c r="AI24" t="n">
        <v>0.00328986889674278</v>
      </c>
      <c r="AJ24" t="n">
        <v>0.00840277470266002</v>
      </c>
      <c r="AK24" t="n">
        <v>0.0457560943844724</v>
      </c>
      <c r="AL24" t="n">
        <v>0.0277307413574014</v>
      </c>
      <c r="AM24" t="n">
        <v>0.14813607203783</v>
      </c>
      <c r="AN24" t="n">
        <v>0.00660792677499109</v>
      </c>
      <c r="AO24" t="n">
        <v>0.027176984196654</v>
      </c>
      <c r="AP24" t="n">
        <v>0.0230620977563497</v>
      </c>
      <c r="AQ24" t="n">
        <v>0</v>
      </c>
    </row>
    <row r="25">
      <c r="A25" t="s">
        <v>620</v>
      </c>
      <c r="B25" t="n">
        <v>0.00500951482847562</v>
      </c>
      <c r="C25" t="n">
        <v>0</v>
      </c>
      <c r="D25" t="n">
        <v>0.00000108207196785586</v>
      </c>
      <c r="E25" t="n">
        <v>0.00480929820217867</v>
      </c>
      <c r="F25" t="n">
        <v>0.0000926991038295923</v>
      </c>
      <c r="G25" t="n">
        <v>0.0107063605063019</v>
      </c>
      <c r="H25" t="n">
        <v>0.0101652153674444</v>
      </c>
      <c r="I25" t="n">
        <v>0.00467451384344022</v>
      </c>
      <c r="J25" t="n">
        <v>0.0332021965205023</v>
      </c>
      <c r="K25" t="n">
        <v>0.00158868356956495</v>
      </c>
      <c r="L25" t="n">
        <v>0.0181623937009561</v>
      </c>
      <c r="M25" t="n">
        <v>0.00605413123365202</v>
      </c>
      <c r="N25" t="n">
        <v>0.028353870389036</v>
      </c>
      <c r="O25" t="n">
        <v>0.000881557072997048</v>
      </c>
      <c r="P25" t="n">
        <v>0.00793401365697343</v>
      </c>
      <c r="Q25" t="n">
        <v>0.00573253688683556</v>
      </c>
      <c r="R25" t="n">
        <v>0.00463750672607355</v>
      </c>
      <c r="S25" t="n">
        <v>0.011735245906641</v>
      </c>
      <c r="T25" t="n">
        <v>0.000812178131769078</v>
      </c>
      <c r="U25" t="n">
        <v>0.00387454261144192</v>
      </c>
      <c r="V25" t="n">
        <v>0.00725163647713702</v>
      </c>
      <c r="W25" t="n">
        <v>0.014217310226837</v>
      </c>
      <c r="X25" t="n">
        <v>0.00430265320573684</v>
      </c>
      <c r="Y25" t="n">
        <v>0.00281247891085705</v>
      </c>
      <c r="Z25" t="n">
        <v>0.0425725319612238</v>
      </c>
      <c r="AA25" t="n">
        <v>0.0119902837358711</v>
      </c>
      <c r="AB25" t="n">
        <v>0.113866839142718</v>
      </c>
      <c r="AC25" t="n">
        <v>0.0211384675357299</v>
      </c>
      <c r="AD25" t="n">
        <v>0.0993132309565517</v>
      </c>
      <c r="AE25" t="n">
        <v>0.0193516615946036</v>
      </c>
      <c r="AF25" t="n">
        <v>0.0553105834989239</v>
      </c>
      <c r="AG25" t="n">
        <v>0.00245448686962571</v>
      </c>
      <c r="AH25" t="n">
        <v>0.00553652030968509</v>
      </c>
      <c r="AI25" t="n">
        <v>0.00271462017205857</v>
      </c>
      <c r="AJ25" t="n">
        <v>0.0102882248858604</v>
      </c>
      <c r="AK25" t="n">
        <v>0.14177243143154</v>
      </c>
      <c r="AL25" t="n">
        <v>0.0366143490066991</v>
      </c>
      <c r="AM25" t="n">
        <v>0.191188068311745</v>
      </c>
      <c r="AN25" t="n">
        <v>0.00482759448207855</v>
      </c>
      <c r="AO25" t="n">
        <v>0.031641429672192</v>
      </c>
      <c r="AP25" t="n">
        <v>0.0224070572822441</v>
      </c>
      <c r="AQ25" t="n">
        <v>0</v>
      </c>
    </row>
    <row r="26">
      <c r="A26" t="s">
        <v>621</v>
      </c>
      <c r="B26" t="n">
        <v>0.00199364385733469</v>
      </c>
      <c r="C26" t="n">
        <v>0</v>
      </c>
      <c r="D26" t="n">
        <v>0.0000000469769299134195</v>
      </c>
      <c r="E26" t="n">
        <v>0.00921602243508079</v>
      </c>
      <c r="F26" t="n">
        <v>0.000520189608918161</v>
      </c>
      <c r="G26" t="n">
        <v>0.00439456021860904</v>
      </c>
      <c r="H26" t="n">
        <v>0.00277021436265743</v>
      </c>
      <c r="I26" t="n">
        <v>0.00179402860324428</v>
      </c>
      <c r="J26" t="n">
        <v>0.0141365812292719</v>
      </c>
      <c r="K26" t="n">
        <v>0.00453551696393055</v>
      </c>
      <c r="L26" t="n">
        <v>0.00530468400223248</v>
      </c>
      <c r="M26" t="n">
        <v>0.00176822800074416</v>
      </c>
      <c r="N26" t="n">
        <v>0.00999945730715912</v>
      </c>
      <c r="O26" t="n">
        <v>0.000421233688937595</v>
      </c>
      <c r="P26" t="n">
        <v>0.00379110320043836</v>
      </c>
      <c r="Q26" t="n">
        <v>0.0027686807125294</v>
      </c>
      <c r="R26" t="n">
        <v>0.00211468669268065</v>
      </c>
      <c r="S26" t="n">
        <v>0.007058036520942</v>
      </c>
      <c r="T26" t="n">
        <v>0.000609096162637583</v>
      </c>
      <c r="U26" t="n">
        <v>0.00173667142692133</v>
      </c>
      <c r="V26" t="n">
        <v>0.00509936854058132</v>
      </c>
      <c r="W26" t="n">
        <v>0.00801237781128459</v>
      </c>
      <c r="X26" t="n">
        <v>0.00137645572048829</v>
      </c>
      <c r="Y26" t="n">
        <v>0.00148715330205322</v>
      </c>
      <c r="Z26" t="n">
        <v>0.0192506884345922</v>
      </c>
      <c r="AA26" t="n">
        <v>0.00553118989206833</v>
      </c>
      <c r="AB26" t="n">
        <v>0.0032240552034627</v>
      </c>
      <c r="AC26" t="n">
        <v>0.00106133677190475</v>
      </c>
      <c r="AD26" t="n">
        <v>0.0446629318061068</v>
      </c>
      <c r="AE26" t="n">
        <v>0.0151523104397335</v>
      </c>
      <c r="AF26" t="n">
        <v>0.0231539292854199</v>
      </c>
      <c r="AG26" t="n">
        <v>0.00190411105674705</v>
      </c>
      <c r="AH26" t="n">
        <v>0.0050953801281479</v>
      </c>
      <c r="AI26" t="n">
        <v>0.00107997700478458</v>
      </c>
      <c r="AJ26" t="n">
        <v>0.0140303456704657</v>
      </c>
      <c r="AK26" t="n">
        <v>0.392084530410936</v>
      </c>
      <c r="AL26" t="n">
        <v>0.0137672032538632</v>
      </c>
      <c r="AM26" t="n">
        <v>0.34194751673159</v>
      </c>
      <c r="AN26" t="n">
        <v>0.00379373072027012</v>
      </c>
      <c r="AO26" t="n">
        <v>0.00816138632948726</v>
      </c>
      <c r="AP26" t="n">
        <v>0.0151913395148132</v>
      </c>
      <c r="AQ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2026-07-17T19:27:18Z</dcterms:created>
</coreProperties>
</file>